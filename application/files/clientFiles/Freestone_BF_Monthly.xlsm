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5195" windowHeight="889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E50" i="11" l="1"/>
  <c r="D50" i="11"/>
  <c r="F50" i="11"/>
  <c r="G48" i="11"/>
  <c r="H48" i="11" s="1"/>
  <c r="I48" i="11" s="1"/>
  <c r="C48" i="11"/>
  <c r="C50" i="11" s="1"/>
  <c r="O48" i="11"/>
  <c r="M48" i="11"/>
  <c r="N48" i="11" s="1"/>
  <c r="P48" i="11" s="1"/>
  <c r="K48" i="11"/>
  <c r="K50" i="11" s="1"/>
  <c r="J48" i="11" l="1"/>
  <c r="J50" i="11" s="1"/>
  <c r="I50" i="11"/>
  <c r="Q48" i="11"/>
  <c r="Q50" i="11" s="1"/>
  <c r="E14" i="11"/>
  <c r="C47" i="11" l="1"/>
  <c r="G47" i="11"/>
  <c r="H47" i="11" s="1"/>
  <c r="I47" i="11" s="1"/>
  <c r="O47" i="11"/>
  <c r="M47" i="11"/>
  <c r="N47" i="11" s="1"/>
  <c r="K47" i="11"/>
  <c r="J47" i="11" l="1"/>
  <c r="P47" i="11"/>
  <c r="G46" i="11"/>
  <c r="C46" i="11"/>
  <c r="O46" i="11"/>
  <c r="K46" i="11"/>
  <c r="Q47" i="11" l="1"/>
  <c r="C45" i="11"/>
  <c r="G45" i="11" l="1"/>
  <c r="H46" i="11" s="1"/>
  <c r="I46" i="11" s="1"/>
  <c r="O45" i="11"/>
  <c r="K45" i="11"/>
  <c r="J46" i="11" l="1"/>
  <c r="G44" i="11"/>
  <c r="C44" i="11"/>
  <c r="O44" i="11"/>
  <c r="K44" i="11"/>
  <c r="C43" i="11" l="1"/>
  <c r="G43" i="11"/>
  <c r="H43" i="11" s="1"/>
  <c r="I43" i="11" s="1"/>
  <c r="J43" i="11" s="1"/>
  <c r="O43" i="11"/>
  <c r="M43" i="11"/>
  <c r="K43" i="11"/>
  <c r="H45" i="11" l="1"/>
  <c r="I45" i="11" s="1"/>
  <c r="H44" i="11"/>
  <c r="I44" i="11" s="1"/>
  <c r="J44" i="11" s="1"/>
  <c r="N43" i="11"/>
  <c r="P43" i="11" s="1"/>
  <c r="M44" i="11"/>
  <c r="Q43" i="11"/>
  <c r="J45" i="11" l="1"/>
  <c r="N44" i="11"/>
  <c r="P44" i="11" s="1"/>
  <c r="Q44" i="11" s="1"/>
  <c r="M45" i="11"/>
  <c r="G42" i="11"/>
  <c r="H42" i="11" s="1"/>
  <c r="I42" i="11" s="1"/>
  <c r="O42" i="11"/>
  <c r="M42" i="11"/>
  <c r="N42" i="11" s="1"/>
  <c r="P42" i="11" s="1"/>
  <c r="K42" i="11"/>
  <c r="C42" i="11"/>
  <c r="N45" i="11" l="1"/>
  <c r="P45" i="11" s="1"/>
  <c r="M46" i="11"/>
  <c r="N46" i="11" s="1"/>
  <c r="P46" i="11" s="1"/>
  <c r="Q46" i="11" s="1"/>
  <c r="Q45" i="11"/>
  <c r="J42" i="11"/>
  <c r="Q42" i="11"/>
  <c r="H41" i="11"/>
  <c r="I41" i="11" s="1"/>
  <c r="J41" i="11" s="1"/>
  <c r="G41" i="11"/>
  <c r="O41" i="11"/>
  <c r="M41" i="11"/>
  <c r="N41" i="11" s="1"/>
  <c r="P41" i="11" s="1"/>
  <c r="K41" i="11"/>
  <c r="C41" i="11"/>
  <c r="Q41" i="11" l="1"/>
  <c r="H40" i="11"/>
  <c r="I40" i="11"/>
  <c r="J40" i="11"/>
  <c r="G40" i="11"/>
  <c r="O40" i="11"/>
  <c r="M40" i="11"/>
  <c r="N40" i="11" s="1"/>
  <c r="K40" i="11"/>
  <c r="C40" i="11"/>
  <c r="P40" i="11" l="1"/>
  <c r="Q40" i="11" s="1"/>
  <c r="I39" i="11"/>
  <c r="H39" i="11"/>
  <c r="G39" i="11"/>
  <c r="O39" i="11"/>
  <c r="M39" i="11"/>
  <c r="N39" i="11" s="1"/>
  <c r="K39" i="11"/>
  <c r="C39" i="11"/>
  <c r="P39" i="11" l="1"/>
  <c r="J39" i="11"/>
  <c r="H38" i="11"/>
  <c r="I38" i="11"/>
  <c r="J38" i="11"/>
  <c r="K38" i="11"/>
  <c r="G38" i="11"/>
  <c r="O38" i="11"/>
  <c r="C38" i="11"/>
  <c r="Q39" i="11" l="1"/>
  <c r="G37" i="11"/>
  <c r="H37" i="11"/>
  <c r="I37" i="11"/>
  <c r="J37" i="11"/>
  <c r="O37" i="11"/>
  <c r="K37" i="11"/>
  <c r="C37" i="11"/>
  <c r="H36" i="11"/>
  <c r="G36" i="11"/>
  <c r="I36" i="11"/>
  <c r="O36" i="11"/>
  <c r="K36" i="11"/>
  <c r="C36" i="11"/>
  <c r="J36" i="11"/>
  <c r="H35" i="11"/>
  <c r="I35" i="11"/>
  <c r="J35" i="11"/>
  <c r="G35" i="11"/>
  <c r="O35" i="11"/>
  <c r="K35" i="11"/>
  <c r="C35" i="11"/>
  <c r="G34" i="11"/>
  <c r="H34" i="11"/>
  <c r="I34" i="11"/>
  <c r="C34" i="11"/>
  <c r="O34" i="11"/>
  <c r="M34" i="11"/>
  <c r="M35" i="11" s="1"/>
  <c r="K34" i="11"/>
  <c r="J34" i="11"/>
  <c r="C33" i="11"/>
  <c r="G33" i="11"/>
  <c r="O33" i="11"/>
  <c r="M33" i="11"/>
  <c r="N33" i="11"/>
  <c r="P33" i="11"/>
  <c r="K33" i="11"/>
  <c r="F13" i="11"/>
  <c r="G32" i="11"/>
  <c r="C32" i="11"/>
  <c r="O32" i="11"/>
  <c r="M32" i="11"/>
  <c r="N32" i="11"/>
  <c r="K32" i="11"/>
  <c r="P32" i="11"/>
  <c r="C31" i="11"/>
  <c r="O31" i="11"/>
  <c r="M31" i="11"/>
  <c r="N31" i="11"/>
  <c r="P31" i="11"/>
  <c r="K31" i="11"/>
  <c r="G31" i="11"/>
  <c r="G30" i="11"/>
  <c r="C30" i="11"/>
  <c r="O30" i="11"/>
  <c r="M30" i="11"/>
  <c r="N30" i="11"/>
  <c r="K30" i="11"/>
  <c r="P30" i="11"/>
  <c r="G29" i="11"/>
  <c r="O29" i="11"/>
  <c r="M29" i="11"/>
  <c r="N29" i="11"/>
  <c r="K29" i="11"/>
  <c r="C29" i="11"/>
  <c r="P29" i="11"/>
  <c r="C28" i="11"/>
  <c r="G28" i="11"/>
  <c r="O28" i="11"/>
  <c r="M28" i="11"/>
  <c r="N28" i="11"/>
  <c r="P28" i="11"/>
  <c r="K28" i="11"/>
  <c r="C27" i="11"/>
  <c r="G27" i="11"/>
  <c r="O27" i="11"/>
  <c r="M27" i="11"/>
  <c r="N27" i="11"/>
  <c r="P27" i="11"/>
  <c r="K27" i="11"/>
  <c r="G26" i="11"/>
  <c r="H33" i="11"/>
  <c r="I33" i="11"/>
  <c r="H32" i="11"/>
  <c r="I32" i="11"/>
  <c r="J32" i="11"/>
  <c r="Q32" i="11"/>
  <c r="H31" i="11"/>
  <c r="I31" i="11"/>
  <c r="J31" i="11"/>
  <c r="Q31" i="11"/>
  <c r="H30" i="11"/>
  <c r="I30" i="11"/>
  <c r="J30" i="11"/>
  <c r="Q30" i="11"/>
  <c r="H29" i="11"/>
  <c r="I29" i="11"/>
  <c r="J29" i="11"/>
  <c r="Q29" i="11"/>
  <c r="H28" i="11"/>
  <c r="I28" i="11"/>
  <c r="J28" i="11"/>
  <c r="Q28" i="11"/>
  <c r="H27" i="11"/>
  <c r="I27" i="11"/>
  <c r="J27" i="11"/>
  <c r="H26" i="11"/>
  <c r="Q27" i="11"/>
  <c r="P22" i="11"/>
  <c r="I26" i="11"/>
  <c r="O26" i="11"/>
  <c r="K26" i="11"/>
  <c r="C26" i="11"/>
  <c r="J33" i="11"/>
  <c r="J26" i="11"/>
  <c r="H25" i="11"/>
  <c r="Q33" i="11"/>
  <c r="C25" i="11"/>
  <c r="P24" i="11"/>
  <c r="O25" i="11"/>
  <c r="M25" i="11"/>
  <c r="M26" i="11"/>
  <c r="N26" i="11"/>
  <c r="P26" i="11"/>
  <c r="Q26" i="11"/>
  <c r="G25" i="11"/>
  <c r="I25" i="11"/>
  <c r="K25" i="11"/>
  <c r="N25" i="11"/>
  <c r="P25" i="11"/>
  <c r="J25" i="11"/>
  <c r="Q25" i="11"/>
  <c r="K24" i="11"/>
  <c r="Q24" i="11"/>
  <c r="H24" i="11"/>
  <c r="C24" i="11"/>
  <c r="O24" i="11"/>
  <c r="M24" i="11"/>
  <c r="N24" i="11"/>
  <c r="G24" i="11"/>
  <c r="I24" i="11"/>
  <c r="J24" i="11"/>
  <c r="I23" i="11"/>
  <c r="I21" i="11"/>
  <c r="I22" i="11"/>
  <c r="J22" i="11"/>
  <c r="H22" i="11"/>
  <c r="H23" i="11"/>
  <c r="J23" i="11"/>
  <c r="J21" i="11"/>
  <c r="G23" i="11"/>
  <c r="G22" i="11"/>
  <c r="G21" i="11"/>
  <c r="Q23" i="11"/>
  <c r="C23" i="11"/>
  <c r="H21" i="11"/>
  <c r="O23" i="11"/>
  <c r="M23" i="11"/>
  <c r="N23" i="11"/>
  <c r="P23" i="11"/>
  <c r="K23" i="11"/>
  <c r="C22" i="11"/>
  <c r="C21" i="11"/>
  <c r="K22" i="11"/>
  <c r="O21" i="11"/>
  <c r="O22" i="11"/>
  <c r="O20" i="11"/>
  <c r="M21" i="11"/>
  <c r="M22" i="11"/>
  <c r="N22" i="11"/>
  <c r="Q9" i="11"/>
  <c r="Q14" i="11" s="1"/>
  <c r="Q22" i="11"/>
  <c r="N20" i="11"/>
  <c r="P20" i="11"/>
  <c r="N21" i="11"/>
  <c r="P21" i="11"/>
  <c r="Q13" i="11" l="1"/>
  <c r="N34" i="11"/>
  <c r="P34" i="11" s="1"/>
  <c r="Q34" i="11" s="1"/>
  <c r="M36" i="11"/>
  <c r="N35" i="11"/>
  <c r="P35" i="11" s="1"/>
  <c r="Q35" i="11" s="1"/>
  <c r="M37" i="11" l="1"/>
  <c r="N36" i="11"/>
  <c r="P36" i="11" s="1"/>
  <c r="Q36" i="11" s="1"/>
  <c r="N37" i="11" l="1"/>
  <c r="P37" i="11" s="1"/>
  <c r="Q37" i="11" s="1"/>
  <c r="M38" i="11"/>
  <c r="N38" i="11" s="1"/>
  <c r="P38" i="11" s="1"/>
  <c r="Q38" i="11" s="1"/>
</calcChain>
</file>

<file path=xl/sharedStrings.xml><?xml version="1.0" encoding="utf-8"?>
<sst xmlns="http://schemas.openxmlformats.org/spreadsheetml/2006/main" count="32" uniqueCount="27">
  <si>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</si>
  <si>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</si>
  <si>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</si>
  <si>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</si>
  <si>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</si>
  <si>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</si>
  <si>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</si>
  <si>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</si>
  <si>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</si>
  <si>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</si>
  <si>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</si>
  <si>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</si>
  <si>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</si>
  <si>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</si>
  <si>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</si>
  <si>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</si>
  <si>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</si>
  <si>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</si>
  <si>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</si>
  <si>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</si>
  <si>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</si>
  <si>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 xml:space="preserve">WAL </t>
  </si>
  <si>
    <t>mat</t>
  </si>
  <si>
    <t>final mat</t>
  </si>
  <si>
    <t>Black Forest LLC</t>
  </si>
  <si>
    <t>Unhide</t>
  </si>
  <si>
    <t>Freestone Capital Management (FSLP)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</si>
</sst>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[$-F800]dddd\,\ mmmm\ dd\,\ yyyy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4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71" fontId="54" fillId="46" borderId="0" xfId="31499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72" fontId="0" fillId="46" borderId="0" xfId="0" applyNumberFormat="1" applyFill="1"/>
    <xf numFmtId="0" fontId="0" fillId="46" borderId="0" xfId="0" applyNumberFormat="1" applyFill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9" fontId="0" fillId="46" borderId="0" xfId="31498" applyNumberFormat="1" applyFont="1" applyFill="1"/>
    <xf numFmtId="165" fontId="54" fillId="49" borderId="0" xfId="0" applyNumberFormat="1" applyFont="1" applyFill="1" applyBorder="1"/>
    <xf numFmtId="171" fontId="54" fillId="46" borderId="24" xfId="31499" applyNumberFormat="1" applyFont="1" applyFill="1" applyBorder="1"/>
    <xf numFmtId="167" fontId="0" fillId="46" borderId="0" xfId="0" applyFill="1" applyBorder="1"/>
    <xf numFmtId="167" fontId="0" fillId="46" borderId="0" xfId="0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990600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3"/>
  <sheetViews>
    <sheetView tabSelected="1" zoomScaleNormal="100" workbookViewId="0">
      <selection activeCell="E10" sqref="E10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" style="3" customWidth="1"/>
    <col min="6" max="6" width="14.85546875" style="3" customWidth="1"/>
    <col min="7" max="8" width="19" style="3" hidden="1" customWidth="1"/>
    <col min="9" max="9" width="15.5703125" style="3" customWidth="1"/>
    <col min="10" max="10" width="17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21</v>
      </c>
    </row>
    <row r="9" spans="2:17" s="1" customFormat="1">
      <c r="B9" s="5" t="s">
        <v>2</v>
      </c>
      <c r="D9" s="25"/>
      <c r="E9" s="26" t="s">
        <v>24</v>
      </c>
      <c r="G9" s="15"/>
      <c r="H9" s="15"/>
      <c r="J9" s="11"/>
      <c r="K9" s="11"/>
      <c r="L9" s="11"/>
      <c r="M9" s="11"/>
      <c r="N9" s="11"/>
      <c r="O9" s="11"/>
      <c r="Q9" s="45">
        <f>E11</f>
        <v>42886</v>
      </c>
    </row>
    <row r="10" spans="2:17" s="1" customFormat="1">
      <c r="B10" s="5" t="s">
        <v>3</v>
      </c>
      <c r="D10" s="25"/>
      <c r="E10" s="26" t="s">
        <v>26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P11" s="1" t="s">
        <v>22</v>
      </c>
      <c r="Q11" s="45">
        <v>42419</v>
      </c>
    </row>
    <row r="12" spans="2:17" s="1" customFormat="1">
      <c r="B12" s="5" t="s">
        <v>19</v>
      </c>
      <c r="D12" s="25"/>
      <c r="E12" s="28">
        <v>1</v>
      </c>
      <c r="G12" s="16"/>
      <c r="H12" s="16"/>
      <c r="P12" s="1" t="s">
        <v>23</v>
      </c>
      <c r="Q12" s="45">
        <v>42779</v>
      </c>
    </row>
    <row r="13" spans="2:17" s="1" customFormat="1">
      <c r="B13" s="5" t="s">
        <v>12</v>
      </c>
      <c r="D13" s="25"/>
      <c r="E13" s="28">
        <v>25000000</v>
      </c>
      <c r="F13" s="49">
        <f>E13-E14</f>
        <v>21290006.809999999</v>
      </c>
      <c r="G13" s="17"/>
      <c r="H13" s="17"/>
      <c r="Q13" s="46">
        <f>(YEAR(Q11)-YEAR(Q9))*12+MONTH(Q11)-MONTH(Q9)</f>
        <v>-15</v>
      </c>
    </row>
    <row r="14" spans="2:17" s="1" customFormat="1">
      <c r="B14" s="5" t="s">
        <v>5</v>
      </c>
      <c r="D14" s="25"/>
      <c r="E14" s="28">
        <f>E13-C50</f>
        <v>3709993.1900000013</v>
      </c>
      <c r="F14" s="47" t="s">
        <v>25</v>
      </c>
      <c r="G14" s="17"/>
      <c r="H14" s="17"/>
      <c r="Q14" s="46">
        <f>(YEAR(Q12)-YEAR(Q9))*12+MONTH(Q12)-MONTH(Q9)</f>
        <v>-3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20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3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3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5320280</v>
      </c>
      <c r="D20" s="31">
        <v>5618337</v>
      </c>
      <c r="E20" s="31">
        <v>0</v>
      </c>
      <c r="F20" s="32"/>
      <c r="G20" s="33"/>
      <c r="H20" s="34"/>
      <c r="I20" s="51"/>
      <c r="J20" s="32"/>
      <c r="K20" s="32"/>
      <c r="L20" s="42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5320280</v>
      </c>
      <c r="D21" s="31">
        <v>5568799.6600000001</v>
      </c>
      <c r="E21" s="31">
        <v>0</v>
      </c>
      <c r="F21" s="32">
        <v>-8.8170799999999997E-3</v>
      </c>
      <c r="G21" s="32">
        <f t="shared" ref="G21:G25" si="0">+F21+1</f>
        <v>0.99118291999999997</v>
      </c>
      <c r="H21" s="48">
        <f>+G21</f>
        <v>0.99118291999999997</v>
      </c>
      <c r="I21" s="40">
        <f t="shared" ref="I21:I26" si="1">+H21-1</f>
        <v>-8.8170800000000327E-3</v>
      </c>
      <c r="J21" s="32">
        <f t="shared" ref="J21:J26" si="2">+(1+I21)^(365/(B21-$B$20))-1</f>
        <v>-0.10903188524631879</v>
      </c>
      <c r="K21" s="32"/>
      <c r="L21" s="42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3"/>
    </row>
    <row r="22" spans="2:17">
      <c r="B22" s="29">
        <v>42094</v>
      </c>
      <c r="C22" s="30">
        <f>+C21+575904</f>
        <v>5896184</v>
      </c>
      <c r="D22" s="31">
        <v>6193014.3899999997</v>
      </c>
      <c r="E22" s="31">
        <v>0</v>
      </c>
      <c r="F22" s="32">
        <v>7.069428E-3</v>
      </c>
      <c r="G22" s="32">
        <f t="shared" si="0"/>
        <v>1.0070694280000001</v>
      </c>
      <c r="H22" s="48">
        <f>+G22*G21</f>
        <v>0.99819001628776982</v>
      </c>
      <c r="I22" s="40">
        <f t="shared" si="1"/>
        <v>-1.8099837122301787E-3</v>
      </c>
      <c r="J22" s="32">
        <f t="shared" si="2"/>
        <v>-1.1144932536941154E-2</v>
      </c>
      <c r="K22" s="32">
        <f>STDEV($F$21:F22)*(12^0.5)</f>
        <v>3.8913838394642901E-2</v>
      </c>
      <c r="L22" s="42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>-1+(N22^(1/O22))</f>
        <v>9.6606773686946923E-5</v>
      </c>
      <c r="Q22" s="43">
        <f t="shared" ref="Q22:Q27" si="7">+(J22-P22)/K22</f>
        <v>-0.28888281841083235</v>
      </c>
    </row>
    <row r="23" spans="2:17">
      <c r="B23" s="29">
        <v>42124</v>
      </c>
      <c r="C23" s="30">
        <f>+C22+3359440.99</f>
        <v>9255624.9900000002</v>
      </c>
      <c r="D23" s="31">
        <v>9742575.2799999993</v>
      </c>
      <c r="E23" s="31">
        <v>0</v>
      </c>
      <c r="F23" s="32">
        <v>1.9902725999999999E-2</v>
      </c>
      <c r="G23" s="32">
        <f t="shared" si="0"/>
        <v>1.019902726</v>
      </c>
      <c r="H23" s="48">
        <f>+G23*G22*G21</f>
        <v>1.0180567186778808</v>
      </c>
      <c r="I23" s="40">
        <f t="shared" si="1"/>
        <v>1.8056718677880834E-2</v>
      </c>
      <c r="J23" s="32">
        <f t="shared" si="2"/>
        <v>7.6152521358346492E-2</v>
      </c>
      <c r="K23" s="32">
        <f>STDEV($F$21:F23)*(12^0.5)</f>
        <v>4.9837775445308624E-2</v>
      </c>
      <c r="L23" s="42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" si="8">-1+(N23^(1/O23))</f>
        <v>3.4972506013364324E-5</v>
      </c>
      <c r="Q23" s="43">
        <f t="shared" si="7"/>
        <v>1.5273063087629906</v>
      </c>
    </row>
    <row r="24" spans="2:17">
      <c r="B24" s="29">
        <v>42155</v>
      </c>
      <c r="C24" s="30">
        <f>+C23+3019178</f>
        <v>12274802.99</v>
      </c>
      <c r="D24" s="31">
        <v>12794159.82</v>
      </c>
      <c r="E24" s="31">
        <v>0</v>
      </c>
      <c r="F24" s="32">
        <v>2.5393797999999999E-3</v>
      </c>
      <c r="G24" s="32">
        <f t="shared" si="0"/>
        <v>1.0025393798</v>
      </c>
      <c r="H24" s="48">
        <f>+G24*G23*G22*G21</f>
        <v>1.0206419513445457</v>
      </c>
      <c r="I24" s="40">
        <f t="shared" si="1"/>
        <v>2.0641951344545717E-2</v>
      </c>
      <c r="J24" s="32">
        <f t="shared" si="2"/>
        <v>6.4118444671255492E-2</v>
      </c>
      <c r="K24" s="32">
        <f>STDEV($F$21:F24)*(12^0.5)</f>
        <v>4.114460156342381E-2</v>
      </c>
      <c r="L24" s="42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ref="P24:P29" si="9">-1+(N24^(1/O24))</f>
        <v>2.7977906966070165E-5</v>
      </c>
      <c r="Q24" s="43">
        <f t="shared" si="7"/>
        <v>1.5576883559194246</v>
      </c>
    </row>
    <row r="25" spans="2:17">
      <c r="B25" s="29">
        <v>42185</v>
      </c>
      <c r="C25" s="30">
        <f>+C24</f>
        <v>12274802.99</v>
      </c>
      <c r="D25" s="31">
        <v>12827308.67</v>
      </c>
      <c r="E25" s="31">
        <v>88305.31</v>
      </c>
      <c r="F25" s="32">
        <v>9.5589130000000005E-3</v>
      </c>
      <c r="G25" s="32">
        <f t="shared" si="0"/>
        <v>1.009558913</v>
      </c>
      <c r="H25" s="48">
        <f>+G25*G24*G23*G22*G21</f>
        <v>1.0303981789615986</v>
      </c>
      <c r="I25" s="40">
        <f t="shared" si="1"/>
        <v>3.0398178961598576E-2</v>
      </c>
      <c r="J25" s="32">
        <f t="shared" si="2"/>
        <v>7.5587386820558766E-2</v>
      </c>
      <c r="K25" s="32">
        <f>STDEV($F$21:F25)*(12^0.5)</f>
        <v>3.6274132980726438E-2</v>
      </c>
      <c r="L25" s="42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3">
        <f t="shared" si="7"/>
        <v>2.0835924779916666</v>
      </c>
    </row>
    <row r="26" spans="2:17">
      <c r="B26" s="29">
        <v>42216</v>
      </c>
      <c r="C26" s="30">
        <f>+C25</f>
        <v>12274802.99</v>
      </c>
      <c r="D26" s="31">
        <v>12909598.289999999</v>
      </c>
      <c r="E26" s="31">
        <v>0</v>
      </c>
      <c r="F26" s="32">
        <v>6.4000000000000003E-3</v>
      </c>
      <c r="G26" s="32">
        <f t="shared" ref="G26:G31" si="10">+F26+1</f>
        <v>1.0064</v>
      </c>
      <c r="H26" s="48">
        <f>+G26*G25*G24*G23*G22*G21</f>
        <v>1.0369927273069526</v>
      </c>
      <c r="I26" s="40">
        <f t="shared" si="1"/>
        <v>3.6992727306952577E-2</v>
      </c>
      <c r="J26" s="32">
        <f t="shared" si="2"/>
        <v>7.6001550224748415E-2</v>
      </c>
      <c r="K26" s="32">
        <f>STDEV($F$21:F26)*(12^0.5)</f>
        <v>3.2448331806204884E-2</v>
      </c>
      <c r="L26" s="42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3">
        <f t="shared" si="7"/>
        <v>2.3411538404128724</v>
      </c>
    </row>
    <row r="27" spans="2:17">
      <c r="B27" s="29">
        <v>42247</v>
      </c>
      <c r="C27" s="30">
        <f>+C26+556707.36</f>
        <v>12831510.35</v>
      </c>
      <c r="D27" s="31">
        <v>13501682.449999999</v>
      </c>
      <c r="E27" s="31">
        <v>70068.34</v>
      </c>
      <c r="F27" s="32">
        <v>7.8712499999999998E-3</v>
      </c>
      <c r="G27" s="32">
        <f t="shared" si="10"/>
        <v>1.00787125</v>
      </c>
      <c r="H27" s="48">
        <f>+G27*G26*G25*G24*G23*G22*G21</f>
        <v>1.0451551563117671</v>
      </c>
      <c r="I27" s="40">
        <f t="shared" ref="I27" si="11">+H27-1</f>
        <v>4.5155156311767142E-2</v>
      </c>
      <c r="J27" s="32">
        <f t="shared" ref="J27" si="12">+(1+I27)^(365/(B27-$B$20))-1</f>
        <v>7.9005084630229039E-2</v>
      </c>
      <c r="K27" s="32">
        <f>STDEV($F$21:F27)*(12^0.5)</f>
        <v>2.971087779034472E-2</v>
      </c>
      <c r="L27" s="42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3">
        <f t="shared" si="7"/>
        <v>2.6580987728839198</v>
      </c>
    </row>
    <row r="28" spans="2:17">
      <c r="B28" s="29">
        <v>42277</v>
      </c>
      <c r="C28" s="30">
        <f>+C27</f>
        <v>12831510.35</v>
      </c>
      <c r="D28" s="31">
        <v>13773973.279999999</v>
      </c>
      <c r="E28" s="31">
        <v>0</v>
      </c>
      <c r="F28" s="32">
        <v>2.0167177800000002E-2</v>
      </c>
      <c r="G28" s="32">
        <f t="shared" si="10"/>
        <v>1.0201671778000001</v>
      </c>
      <c r="H28" s="48">
        <f>+G28*G27*G26*G25*G24*G23*G22*G21</f>
        <v>1.0662329861776938</v>
      </c>
      <c r="I28" s="40">
        <f t="shared" ref="I28" si="14">+H28-1</f>
        <v>6.6232986177693798E-2</v>
      </c>
      <c r="J28" s="32">
        <f t="shared" ref="J28" si="15">+(1+I28)^(365/(B28-$B$20))-1</f>
        <v>0.10156049895361741</v>
      </c>
      <c r="K28" s="32">
        <f>STDEV($F$21:F28)*(12^0.5)</f>
        <v>3.2288713179414334E-2</v>
      </c>
      <c r="L28" s="42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3">
        <f t="shared" ref="Q28:Q33" si="18">+(J28-P28)/K28</f>
        <v>3.1452224199528396</v>
      </c>
    </row>
    <row r="29" spans="2:17">
      <c r="B29" s="29">
        <v>42308</v>
      </c>
      <c r="C29" s="30">
        <f>+C28</f>
        <v>12831510.35</v>
      </c>
      <c r="D29" s="31">
        <v>13756887.449999999</v>
      </c>
      <c r="E29" s="31">
        <v>124395.31</v>
      </c>
      <c r="F29" s="32">
        <v>7.8617400000000007E-3</v>
      </c>
      <c r="G29" s="32">
        <f t="shared" si="10"/>
        <v>1.0078617400000001</v>
      </c>
      <c r="H29" s="48">
        <f>+G29*G28*G27*G26*G25*G24*G23*G22*G21</f>
        <v>1.0746154326944461</v>
      </c>
      <c r="I29" s="40">
        <f t="shared" ref="I29:I35" si="19">+H29-1</f>
        <v>7.4615432694446149E-2</v>
      </c>
      <c r="J29" s="32">
        <f t="shared" ref="J29" si="20">+(1+I29)^(365/(B29-$B$20))-1</f>
        <v>0.10099474076894688</v>
      </c>
      <c r="K29" s="32">
        <f>STDEV($F$21:F29)*(12^0.5)</f>
        <v>3.0204440313036509E-2</v>
      </c>
      <c r="L29" s="42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si="9"/>
        <v>4.7829139961930167E-6</v>
      </c>
      <c r="Q29" s="43">
        <f t="shared" si="18"/>
        <v>3.3435467371121095</v>
      </c>
    </row>
    <row r="30" spans="2:17">
      <c r="B30" s="29">
        <v>42338</v>
      </c>
      <c r="C30" s="30">
        <f>+C29+748675.42</f>
        <v>13580185.77</v>
      </c>
      <c r="D30" s="31">
        <v>14522798.34</v>
      </c>
      <c r="E30" s="31">
        <v>0</v>
      </c>
      <c r="F30" s="32">
        <v>1.1881971E-3</v>
      </c>
      <c r="G30" s="32">
        <f t="shared" si="10"/>
        <v>1.0011881971000001</v>
      </c>
      <c r="H30" s="48">
        <f>+G30*G29*G28*G27*G26*G25*G24*G23*G22*G21</f>
        <v>1.0758922876351891</v>
      </c>
      <c r="I30" s="40">
        <f t="shared" si="19"/>
        <v>7.5892287635189071E-2</v>
      </c>
      <c r="J30" s="32">
        <f t="shared" ref="J30" si="23">+(1+I30)^(365/(B30-$B$20))-1</f>
        <v>9.2117433293855244E-2</v>
      </c>
      <c r="K30" s="32">
        <f>STDEV($F$21:F30)*(12^0.5)</f>
        <v>2.9455584359252034E-2</v>
      </c>
      <c r="L30" s="42">
        <v>9.1500000000000001E-4</v>
      </c>
      <c r="M30" s="33">
        <f t="shared" ref="M30" si="24">+M29*(1+(L30*(B30-B29)/365))</f>
        <v>100.00791915392779</v>
      </c>
      <c r="N30" s="32">
        <f t="shared" ref="N30" si="25">+M30/100</f>
        <v>1.0000791915392779</v>
      </c>
      <c r="O30" s="33">
        <f>COUNT($B$20:B30)/12</f>
        <v>0.91666666666666663</v>
      </c>
      <c r="P30" s="32">
        <f t="shared" ref="P30" si="26">-1+(N30^(1/O30))</f>
        <v>8.6391081087544563E-5</v>
      </c>
      <c r="Q30" s="43">
        <f t="shared" si="18"/>
        <v>3.1244004902540881</v>
      </c>
    </row>
    <row r="31" spans="2:17">
      <c r="B31" s="29">
        <v>42369</v>
      </c>
      <c r="C31" s="30">
        <f>+C30+3573485</f>
        <v>17153670.77</v>
      </c>
      <c r="D31" s="31">
        <v>18094928.219999999</v>
      </c>
      <c r="E31" s="31">
        <v>0</v>
      </c>
      <c r="F31" s="32">
        <v>-7.4900000000000005E-5</v>
      </c>
      <c r="G31" s="32">
        <f t="shared" si="10"/>
        <v>0.99992510000000001</v>
      </c>
      <c r="H31" s="48">
        <f>+G31*G30*G29*G28*G27*G26*G25*G24*G23*G22*G21</f>
        <v>1.0758117033028454</v>
      </c>
      <c r="I31" s="40">
        <f t="shared" si="19"/>
        <v>7.5811703302845368E-2</v>
      </c>
      <c r="J31" s="32">
        <f t="shared" ref="J31" si="27">+(1+I31)^(365/(B31-$B$20))-1</f>
        <v>8.3133145029832045E-2</v>
      </c>
      <c r="K31" s="32">
        <f>STDEV($F$21:F31)*(12^0.5)</f>
        <v>2.9006920251992214E-2</v>
      </c>
      <c r="L31" s="42">
        <v>1.2199999999999999E-3</v>
      </c>
      <c r="M31" s="33">
        <f t="shared" ref="M31" si="28">+M30*(1+(L31*(B31-B30)/365))</f>
        <v>100.01828161831793</v>
      </c>
      <c r="N31" s="32">
        <f t="shared" ref="N31" si="29">+M31/100</f>
        <v>1.0001828161831794</v>
      </c>
      <c r="O31" s="33">
        <f>COUNT($B$20:B31)/12</f>
        <v>1</v>
      </c>
      <c r="P31" s="32">
        <f t="shared" ref="P31" si="30">-1+(N31^(1/O31))</f>
        <v>1.8281618317939063E-4</v>
      </c>
      <c r="Q31" s="43">
        <f t="shared" si="18"/>
        <v>2.859673764951161</v>
      </c>
    </row>
    <row r="32" spans="2:17">
      <c r="B32" s="29">
        <v>42400</v>
      </c>
      <c r="C32" s="30">
        <f>+C31</f>
        <v>17153670.77</v>
      </c>
      <c r="D32" s="31">
        <v>18041999.129999999</v>
      </c>
      <c r="E32" s="31">
        <v>147815.41</v>
      </c>
      <c r="F32" s="32">
        <v>5.287E-3</v>
      </c>
      <c r="G32" s="32">
        <f t="shared" ref="G32:G37" si="31">+F32+1</f>
        <v>1.005287</v>
      </c>
      <c r="H32" s="48">
        <f>+G32*G31*G30*G29*G28*G27*G26*G25*G24*G23*G22*G21</f>
        <v>1.0814995197782082</v>
      </c>
      <c r="I32" s="40">
        <f t="shared" si="19"/>
        <v>8.149951977820824E-2</v>
      </c>
      <c r="J32" s="32">
        <f t="shared" ref="J32" si="32">+(1+I32)^(365/(B32-$B$20))-1</f>
        <v>8.149951977820824E-2</v>
      </c>
      <c r="K32" s="32">
        <f>STDEV($F$21:F32)*(12^0.5)</f>
        <v>2.769293124517672E-2</v>
      </c>
      <c r="L32" s="42">
        <v>2.186E-3</v>
      </c>
      <c r="M32" s="33">
        <f t="shared" ref="M32" si="33">+M31*(1+(L32*(B32-B31)/365))</f>
        <v>100.03685103988546</v>
      </c>
      <c r="N32" s="32">
        <f t="shared" ref="N32" si="34">+M32/100</f>
        <v>1.0003685103988547</v>
      </c>
      <c r="O32" s="33">
        <f>COUNT($B$20:B32)/12</f>
        <v>1.0833333333333333</v>
      </c>
      <c r="P32" s="32">
        <f t="shared" ref="P32" si="35">-1+(N32^(1/O32))</f>
        <v>3.4015862443559364E-4</v>
      </c>
      <c r="Q32" s="43">
        <f t="shared" si="18"/>
        <v>2.9306887174649732</v>
      </c>
    </row>
    <row r="33" spans="2:17">
      <c r="B33" s="29">
        <v>42429</v>
      </c>
      <c r="C33" s="30">
        <f>+C32+509099.29</f>
        <v>17662770.059999999</v>
      </c>
      <c r="D33" s="31">
        <v>18774705.84</v>
      </c>
      <c r="E33" s="31">
        <v>0</v>
      </c>
      <c r="F33" s="32">
        <v>9.6100000000000005E-4</v>
      </c>
      <c r="G33" s="32">
        <f t="shared" si="31"/>
        <v>1.000961</v>
      </c>
      <c r="H33" s="48">
        <f>+G33*G32*G31*G30*G29*G28*G27*G26*G25*G24*G23*G22*G21</f>
        <v>1.0825388408167145</v>
      </c>
      <c r="I33" s="40">
        <f t="shared" si="19"/>
        <v>8.2538840816714476E-2</v>
      </c>
      <c r="J33" s="32">
        <f t="shared" ref="J33" si="36">+(1+I33)^(365/(B33-$B$20))-1</f>
        <v>7.6237962429180239E-2</v>
      </c>
      <c r="K33" s="32">
        <f>STDEV($F$21:F33)*(12^0.5)</f>
        <v>2.7057889086753599E-2</v>
      </c>
      <c r="L33" s="42">
        <v>2.186E-3</v>
      </c>
      <c r="M33" s="33">
        <f t="shared" ref="M33" si="37">+M32*(1+(L33*(B33-B32)/365))</f>
        <v>100.05422565943292</v>
      </c>
      <c r="N33" s="32">
        <f t="shared" ref="N33" si="38">+M33/100</f>
        <v>1.0005422565943292</v>
      </c>
      <c r="O33" s="33">
        <f>COUNT($B$20:B33)/12</f>
        <v>1.1666666666666667</v>
      </c>
      <c r="P33" s="32">
        <f t="shared" ref="P33" si="39">-1+(N33^(1/O33))</f>
        <v>4.6477336770101019E-4</v>
      </c>
      <c r="Q33" s="43">
        <f t="shared" si="18"/>
        <v>2.8004102174612941</v>
      </c>
    </row>
    <row r="34" spans="2:17">
      <c r="B34" s="29">
        <v>42460</v>
      </c>
      <c r="C34" s="30">
        <f t="shared" ref="C34:C42" si="40">+C33</f>
        <v>17662770.059999999</v>
      </c>
      <c r="D34" s="31">
        <v>18858736.960000001</v>
      </c>
      <c r="E34" s="31">
        <v>0</v>
      </c>
      <c r="F34" s="32">
        <v>1.56074E-2</v>
      </c>
      <c r="G34" s="32">
        <f t="shared" si="31"/>
        <v>1.0156073999999999</v>
      </c>
      <c r="H34" s="48">
        <f>+G34*G33*G32*G31*G30*G29*G28*G27*G26*G25*G24*G23*G22*G21</f>
        <v>1.0994344575208772</v>
      </c>
      <c r="I34" s="40">
        <f t="shared" si="19"/>
        <v>9.9434457520877206E-2</v>
      </c>
      <c r="J34" s="32">
        <f t="shared" ref="J34" si="41">+(1+I34)^(365/(B34-$B$20))-1</f>
        <v>8.4818796194062296E-2</v>
      </c>
      <c r="K34" s="32">
        <f>STDEV($F$21:F34)*(12^0.5)</f>
        <v>2.7432107306106221E-2</v>
      </c>
      <c r="L34" s="42">
        <v>1.678E-3</v>
      </c>
      <c r="M34" s="33">
        <f t="shared" ref="M34" si="42">+M33*(1+(L34*(B34-B33)/365))</f>
        <v>100.06848489425579</v>
      </c>
      <c r="N34" s="32">
        <f t="shared" ref="N34" si="43">+M34/100</f>
        <v>1.0006848489425579</v>
      </c>
      <c r="O34" s="33">
        <f>COUNT($B$20:B34)/12</f>
        <v>1.25</v>
      </c>
      <c r="P34" s="32">
        <f t="shared" ref="P34" si="44">-1+(N34^(1/O34))</f>
        <v>5.4784164287524639E-4</v>
      </c>
      <c r="Q34" s="43">
        <f t="shared" ref="Q34" si="45">+(J34-P34)/K34</f>
        <v>3.0719825353128756</v>
      </c>
    </row>
    <row r="35" spans="2:17">
      <c r="B35" s="29">
        <v>42490</v>
      </c>
      <c r="C35" s="30">
        <f t="shared" si="40"/>
        <v>17662770.059999999</v>
      </c>
      <c r="D35" s="31">
        <v>18379038.91</v>
      </c>
      <c r="E35" s="31">
        <v>692044.84</v>
      </c>
      <c r="F35" s="32">
        <v>1.1688799999999999E-2</v>
      </c>
      <c r="G35" s="32">
        <f t="shared" si="31"/>
        <v>1.0116887999999999</v>
      </c>
      <c r="H35" s="48">
        <f>+G35*G34*G33*G32*G31*G30*G29*G28*G27*G26*G25*G24*G23*G22*G21</f>
        <v>1.1122855270079473</v>
      </c>
      <c r="I35" s="40">
        <f t="shared" si="19"/>
        <v>0.11228552700794725</v>
      </c>
      <c r="J35" s="32">
        <f t="shared" ref="J35" si="46">+(1+I35)^(365/(B35-$B$20))-1</f>
        <v>8.9117166176348794E-2</v>
      </c>
      <c r="K35" s="32">
        <f>STDEV($F$21:F35)*(12^0.5)</f>
        <v>2.6790104983557071E-2</v>
      </c>
      <c r="L35" s="42">
        <v>1.5250000000000001E-3</v>
      </c>
      <c r="M35" s="33">
        <f t="shared" ref="M35" si="47">+M34*(1+(L35*(B35-B34)/365))</f>
        <v>100.08102772489664</v>
      </c>
      <c r="N35" s="32">
        <f t="shared" ref="N35" si="48">+M35/100</f>
        <v>1.0008102772489664</v>
      </c>
      <c r="O35" s="33">
        <f>COUNT($B$20:B35)/12</f>
        <v>1.3333333333333333</v>
      </c>
      <c r="P35" s="32">
        <f t="shared" ref="P35" si="49">-1+(N35^(1/O35))</f>
        <v>6.0764640600674547E-4</v>
      </c>
      <c r="Q35" s="43">
        <f t="shared" ref="Q35" si="50">+(J35-P35)/K35</f>
        <v>3.3038138456219723</v>
      </c>
    </row>
    <row r="36" spans="2:17">
      <c r="B36" s="29">
        <v>42521</v>
      </c>
      <c r="C36" s="30">
        <f t="shared" si="40"/>
        <v>17662770.059999999</v>
      </c>
      <c r="D36" s="31">
        <v>19066715.800000001</v>
      </c>
      <c r="E36" s="31">
        <v>0</v>
      </c>
      <c r="F36" s="32">
        <v>3.7416400000000002E-2</v>
      </c>
      <c r="G36" s="32">
        <f t="shared" si="31"/>
        <v>1.0374163999999999</v>
      </c>
      <c r="H36" s="48">
        <f>+G36*G35*G34*G33*G32*G31*G30*G29*G28*G27*G26*G25*G24*G23*G22*G21</f>
        <v>1.1539032472006876</v>
      </c>
      <c r="I36" s="40">
        <f t="shared" ref="I36" si="51">+H36-1</f>
        <v>0.1539032472006876</v>
      </c>
      <c r="J36" s="32">
        <f t="shared" ref="J36" si="52">+(1+I36)^(365/(B36-$B$20))-1</f>
        <v>0.1135020140702796</v>
      </c>
      <c r="K36" s="32">
        <f>STDEV($F$21:F36)*(12^0.5)</f>
        <v>3.6837773885310739E-2</v>
      </c>
      <c r="L36" s="42">
        <v>1.7799999999999999E-3</v>
      </c>
      <c r="M36" s="33">
        <f t="shared" ref="M36" si="53">+M35*(1+(L36*(B36-B35)/365))</f>
        <v>100.09615778273186</v>
      </c>
      <c r="N36" s="32">
        <f t="shared" ref="N36" si="54">+M36/100</f>
        <v>1.0009615778273186</v>
      </c>
      <c r="O36" s="33">
        <f>COUNT($B$20:B36)/12</f>
        <v>1.4166666666666667</v>
      </c>
      <c r="P36" s="32">
        <f t="shared" ref="P36" si="55">-1+(N36^(1/O36))</f>
        <v>6.7866487652312735E-4</v>
      </c>
      <c r="Q36" s="43">
        <f t="shared" ref="Q36" si="56">+(J36-P36)/K36</f>
        <v>3.0627081197961692</v>
      </c>
    </row>
    <row r="37" spans="2:17">
      <c r="B37" s="29">
        <v>42551</v>
      </c>
      <c r="C37" s="30">
        <f t="shared" si="40"/>
        <v>17662770.059999999</v>
      </c>
      <c r="D37" s="31">
        <v>19145521.550000001</v>
      </c>
      <c r="E37" s="31">
        <v>0</v>
      </c>
      <c r="F37" s="32">
        <v>4.1332000000000001E-3</v>
      </c>
      <c r="G37" s="32">
        <f t="shared" si="31"/>
        <v>1.0041332000000001</v>
      </c>
      <c r="H37" s="48">
        <f>+G37*G36*G35*G34*G33*G32*G31*G30*G29*G28*G27*G26*G25*G24*G23*G22*G21</f>
        <v>1.1586725601020169</v>
      </c>
      <c r="I37" s="40">
        <f t="shared" ref="I37" si="57">+H37-1</f>
        <v>0.15867256010201691</v>
      </c>
      <c r="J37" s="32">
        <f t="shared" ref="J37" si="58">+(1+I37)^(365/(B37-$B$20))-1</f>
        <v>0.10979696807795158</v>
      </c>
      <c r="K37" s="32">
        <f>STDEV($F$21:F37)*(12^0.5)</f>
        <v>3.5905397959929732E-2</v>
      </c>
      <c r="L37" s="42">
        <v>1.6800000000000001E-3</v>
      </c>
      <c r="M37" s="33">
        <f t="shared" ref="M37" si="59">+M36*(1+(L37*(B37-B36)/365))</f>
        <v>100.10997927958735</v>
      </c>
      <c r="N37" s="32">
        <f t="shared" ref="N37" si="60">+M37/100</f>
        <v>1.0010997927958736</v>
      </c>
      <c r="O37" s="33">
        <f>COUNT($B$20:B37)/12</f>
        <v>1.5</v>
      </c>
      <c r="P37" s="32">
        <f t="shared" ref="P37" si="61">-1+(N37^(1/O37))</f>
        <v>7.3306086909896706E-4</v>
      </c>
      <c r="Q37" s="43">
        <f t="shared" ref="Q37" si="62">+(J37-P37)/K37</f>
        <v>3.0375351174374243</v>
      </c>
    </row>
    <row r="38" spans="2:17">
      <c r="B38" s="29">
        <v>42582</v>
      </c>
      <c r="C38" s="30">
        <f t="shared" si="40"/>
        <v>17662770.059999999</v>
      </c>
      <c r="D38" s="31">
        <v>18680199.829999998</v>
      </c>
      <c r="E38" s="31">
        <v>620440.76</v>
      </c>
      <c r="F38" s="32">
        <v>8.3735000000000007E-3</v>
      </c>
      <c r="G38" s="32">
        <f t="shared" ref="G38:G43" si="63">+F38+1</f>
        <v>1.0083735</v>
      </c>
      <c r="H38" s="48">
        <f>+G38*G37*G36*G35*G34*G33*G32*G31*G30*G29*G28*G27*G26*G25*G24*G23*G22*G21</f>
        <v>1.1683747047840314</v>
      </c>
      <c r="I38" s="40">
        <f t="shared" ref="I38:I43" si="64">+H38-1</f>
        <v>0.16837470478403138</v>
      </c>
      <c r="J38" s="32">
        <f t="shared" ref="J38:J43" si="65">+(1+I38)^(365/(B38-$B$20))-1</f>
        <v>0.1094198892846745</v>
      </c>
      <c r="K38" s="32">
        <f>STDEV($F$21:F38)*(12^0.5)</f>
        <v>3.4834713509254198E-2</v>
      </c>
      <c r="L38" s="42">
        <v>1.7799999999999999E-3</v>
      </c>
      <c r="M38" s="33">
        <f t="shared" ref="M38" si="66">+M37*(1+(L38*(B38-B37)/365))</f>
        <v>100.12511371426308</v>
      </c>
      <c r="N38" s="32">
        <f t="shared" ref="N38" si="67">+M38/100</f>
        <v>1.0012511371426307</v>
      </c>
      <c r="O38" s="33">
        <f>COUNT($B$20:B38)/12</f>
        <v>1.5833333333333333</v>
      </c>
      <c r="P38" s="32">
        <f t="shared" ref="P38" si="68">-1+(N38^(1/O38))</f>
        <v>7.9000986581090338E-4</v>
      </c>
      <c r="Q38" s="43">
        <f t="shared" ref="Q38" si="69">+(J38-P38)/K38</f>
        <v>3.118437572050218</v>
      </c>
    </row>
    <row r="39" spans="2:17">
      <c r="B39" s="29">
        <v>42613</v>
      </c>
      <c r="C39" s="30">
        <f t="shared" si="40"/>
        <v>17662770.059999999</v>
      </c>
      <c r="D39" s="31">
        <v>18693315.68</v>
      </c>
      <c r="E39" s="31">
        <v>80626.58</v>
      </c>
      <c r="F39" s="32">
        <v>5.04003E-3</v>
      </c>
      <c r="G39" s="32">
        <f t="shared" si="63"/>
        <v>1.00504003</v>
      </c>
      <c r="H39" s="48">
        <f>+G39*G38*G37*G36*G35*G34*G33*G32*G31*G30*G29*G28*G27*G26*G25*G24*G23*G22*G21</f>
        <v>1.1742633483473843</v>
      </c>
      <c r="I39" s="40">
        <f t="shared" si="64"/>
        <v>0.17426334834738433</v>
      </c>
      <c r="J39" s="32">
        <f t="shared" si="65"/>
        <v>0.10676666983919647</v>
      </c>
      <c r="K39" s="32">
        <f>STDEV($F$21:F39)*(12^0.5)</f>
        <v>3.3980008174360546E-2</v>
      </c>
      <c r="L39" s="42">
        <v>2.6870000000000002E-3</v>
      </c>
      <c r="M39" s="33">
        <f t="shared" ref="M39" si="70">+M38*(1+(L39*(B39-B38)/365))</f>
        <v>100.14796336247419</v>
      </c>
      <c r="N39" s="32">
        <f t="shared" ref="N39" si="71">+M39/100</f>
        <v>1.0014796336247418</v>
      </c>
      <c r="O39" s="33">
        <f>COUNT($B$20:B39)/12</f>
        <v>1.6666666666666667</v>
      </c>
      <c r="P39" s="32">
        <f t="shared" ref="P39" si="72">-1+(N39^(1/O39))</f>
        <v>8.8751763821015572E-4</v>
      </c>
      <c r="Q39" s="43">
        <f t="shared" ref="Q39" si="73">+(J39-P39)/K39</f>
        <v>3.1159248596319329</v>
      </c>
    </row>
    <row r="40" spans="2:17">
      <c r="B40" s="29">
        <v>42643</v>
      </c>
      <c r="C40" s="30">
        <f t="shared" si="40"/>
        <v>17662770.059999999</v>
      </c>
      <c r="D40" s="31">
        <v>18786387</v>
      </c>
      <c r="E40" s="31">
        <v>0</v>
      </c>
      <c r="F40" s="32">
        <v>4.9788999999999996E-3</v>
      </c>
      <c r="G40" s="32">
        <f t="shared" si="63"/>
        <v>1.0049789</v>
      </c>
      <c r="H40" s="48">
        <f>+G40*G39*G38*G37*G36*G35*G34*G33*G32*G31*G30*G29*G28*G27*G26*G25*G24*G23*G22*G21</f>
        <v>1.1801098881324712</v>
      </c>
      <c r="I40" s="40">
        <f t="shared" si="64"/>
        <v>0.1801098881324712</v>
      </c>
      <c r="J40" s="32">
        <f t="shared" si="65"/>
        <v>0.10452901349696431</v>
      </c>
      <c r="K40" s="32">
        <f>STDEV($F$21:F40)*(12^0.5)</f>
        <v>3.318825010553493E-2</v>
      </c>
      <c r="L40" s="42">
        <v>1.825E-3</v>
      </c>
      <c r="M40" s="33">
        <f t="shared" ref="M40" si="74">+M39*(1+(L40*(B40-B39)/365))</f>
        <v>100.16298555697857</v>
      </c>
      <c r="N40" s="32">
        <f t="shared" ref="N40" si="75">+M40/100</f>
        <v>1.0016298555697858</v>
      </c>
      <c r="O40" s="33">
        <f>COUNT($B$20:B40)/12</f>
        <v>1.75</v>
      </c>
      <c r="P40" s="32">
        <f t="shared" ref="P40" si="76">-1+(N40^(1/O40))</f>
        <v>9.310210150403897E-4</v>
      </c>
      <c r="Q40" s="43">
        <f t="shared" ref="Q40" si="77">+(J40-P40)/K40</f>
        <v>3.1215262073924919</v>
      </c>
    </row>
    <row r="41" spans="2:17">
      <c r="B41" s="29">
        <v>42674</v>
      </c>
      <c r="C41" s="30">
        <f t="shared" si="40"/>
        <v>17662770.059999999</v>
      </c>
      <c r="D41" s="31">
        <v>18649943.239999998</v>
      </c>
      <c r="E41" s="31">
        <v>287952.08</v>
      </c>
      <c r="F41" s="32">
        <v>8.1902999999999993E-3</v>
      </c>
      <c r="G41" s="32">
        <f t="shared" si="63"/>
        <v>1.0081903000000001</v>
      </c>
      <c r="H41" s="48">
        <f>+G41*G40*G39*G38*G37*G36*G35*G34*G33*G32*G31*G30*G29*G28*G27*G26*G25*G24*G23*G22*G21</f>
        <v>1.1897753421492419</v>
      </c>
      <c r="I41" s="40">
        <f t="shared" si="64"/>
        <v>0.18977534214924185</v>
      </c>
      <c r="J41" s="32">
        <f t="shared" si="65"/>
        <v>0.10434804161926459</v>
      </c>
      <c r="K41" s="32">
        <f>STDEV($F$21:F41)*(12^0.5)</f>
        <v>3.2348152216867425E-2</v>
      </c>
      <c r="L41" s="42">
        <v>1.622E-3</v>
      </c>
      <c r="M41" s="33">
        <f t="shared" ref="M41" si="78">+M40*(1+(L41*(B41-B40)/365))</f>
        <v>100.17678390010124</v>
      </c>
      <c r="N41" s="32">
        <f t="shared" ref="N41" si="79">+M41/100</f>
        <v>1.0017678390010125</v>
      </c>
      <c r="O41" s="33">
        <f>COUNT($B$20:B41)/12</f>
        <v>1.8333333333333333</v>
      </c>
      <c r="P41" s="32">
        <f t="shared" ref="P41" si="80">-1+(N41^(1/O41))</f>
        <v>9.6388872217945121E-4</v>
      </c>
      <c r="Q41" s="43">
        <f t="shared" ref="Q41" si="81">+(J41-P41)/K41</f>
        <v>3.1959832575282965</v>
      </c>
    </row>
    <row r="42" spans="2:17">
      <c r="B42" s="29">
        <v>42704</v>
      </c>
      <c r="C42" s="30">
        <f t="shared" si="40"/>
        <v>17662770.059999999</v>
      </c>
      <c r="D42" s="31">
        <v>19067894.699999999</v>
      </c>
      <c r="E42" s="31">
        <v>126698.92</v>
      </c>
      <c r="F42" s="32">
        <v>2.3776000000000001E-3</v>
      </c>
      <c r="G42" s="32">
        <f t="shared" si="63"/>
        <v>1.0023776</v>
      </c>
      <c r="H42" s="48">
        <f>+G42*G41*G40*G39*G38*G37*G36*G35*G34*G33*G32*G31*G30*G29*G28*G27*G26*G25*G24*G23*G22*G21</f>
        <v>1.1926041520027362</v>
      </c>
      <c r="I42" s="40">
        <f t="shared" si="64"/>
        <v>0.19260415200273617</v>
      </c>
      <c r="J42" s="32">
        <f t="shared" si="65"/>
        <v>0.10086904156695975</v>
      </c>
      <c r="K42" s="32">
        <f>STDEV($F$21:F42)*(12^0.5)</f>
        <v>3.1875198900416221E-2</v>
      </c>
      <c r="L42" s="42">
        <v>3.5999999999999999E-3</v>
      </c>
      <c r="M42" s="33">
        <f t="shared" ref="M42" si="82">+M41*(1+(L42*(B42-B41)/365))</f>
        <v>100.20642524985799</v>
      </c>
      <c r="N42" s="32">
        <f t="shared" ref="N42" si="83">+M42/100</f>
        <v>1.0020642524985799</v>
      </c>
      <c r="O42" s="33">
        <f>COUNT($B$20:B42)/12</f>
        <v>1.9166666666666667</v>
      </c>
      <c r="P42" s="32">
        <f t="shared" ref="P42" si="84">-1+(N42^(1/O42))</f>
        <v>1.0764702082668443E-3</v>
      </c>
      <c r="Q42" s="43">
        <f t="shared" ref="Q42" si="85">+(J42-P42)/K42</f>
        <v>3.130727800960948</v>
      </c>
    </row>
    <row r="43" spans="2:17">
      <c r="B43" s="29">
        <v>42735</v>
      </c>
      <c r="C43" s="30">
        <f>+C42+1323619.75</f>
        <v>18986389.809999999</v>
      </c>
      <c r="D43" s="31">
        <v>19973108.73</v>
      </c>
      <c r="E43" s="31">
        <v>38393.61</v>
      </c>
      <c r="F43" s="32">
        <v>6.0746999999999997E-3</v>
      </c>
      <c r="G43" s="32">
        <f t="shared" si="63"/>
        <v>1.0060747000000001</v>
      </c>
      <c r="H43" s="48">
        <f>+G43*G42*G41*G40*G39*G38*G37*G36*G35*G34*G33*G32*G31*G30*G29*G28*G27*G26*G25*G24*G23*G22*G21</f>
        <v>1.1998488644449079</v>
      </c>
      <c r="I43" s="40">
        <f t="shared" si="64"/>
        <v>0.1998488644449079</v>
      </c>
      <c r="J43" s="32">
        <f t="shared" si="65"/>
        <v>9.9661046491759553E-2</v>
      </c>
      <c r="K43" s="32">
        <f>STDEV($F$21:F43)*(12^0.5)</f>
        <v>3.1175944585678496E-2</v>
      </c>
      <c r="L43" s="42">
        <v>4.1580000000000002E-3</v>
      </c>
      <c r="M43" s="33">
        <f t="shared" ref="M43" si="86">+M42*(1+(L43*(B43-B42)/365))</f>
        <v>100.24181266849321</v>
      </c>
      <c r="N43" s="32">
        <f t="shared" ref="N43" si="87">+M43/100</f>
        <v>1.0024181266849321</v>
      </c>
      <c r="O43" s="33">
        <f>COUNT($B$20:B43)/12</f>
        <v>2</v>
      </c>
      <c r="P43" s="32">
        <f t="shared" ref="P43" si="88">-1+(N43^(1/O43))</f>
        <v>1.2083333077748115E-3</v>
      </c>
      <c r="Q43" s="43">
        <f t="shared" ref="Q43" si="89">+(J43-P43)/K43</f>
        <v>3.1579704959192041</v>
      </c>
    </row>
    <row r="44" spans="2:17">
      <c r="B44" s="29">
        <v>42766</v>
      </c>
      <c r="C44" s="30">
        <f>+C43</f>
        <v>18986389.809999999</v>
      </c>
      <c r="D44" s="31">
        <v>20171226.629999999</v>
      </c>
      <c r="E44" s="31">
        <v>0</v>
      </c>
      <c r="F44" s="32">
        <v>9.9191999999999995E-3</v>
      </c>
      <c r="G44" s="32">
        <f>+F44+1</f>
        <v>1.0099191999999999</v>
      </c>
      <c r="H44" s="48">
        <f>+G44*G43*G42*G41*G40*G39*G38*G37*G36*G35*G34*G33*G32*G31*G30*G29*G28*G27*G26*G25*G24*G23*G22*G21</f>
        <v>1.2117504053011092</v>
      </c>
      <c r="I44" s="40">
        <f t="shared" ref="I44" si="90">+H44-1</f>
        <v>0.21175040530110922</v>
      </c>
      <c r="J44" s="32">
        <f t="shared" ref="J44" si="91">+(1+I44)^(365/(B44-$B$20))-1</f>
        <v>0.10065074699718113</v>
      </c>
      <c r="K44" s="32">
        <f>STDEV($F$21:F44)*(12^0.5)</f>
        <v>3.0521140792207697E-2</v>
      </c>
      <c r="L44" s="42">
        <v>4.614E-3</v>
      </c>
      <c r="M44" s="33">
        <f t="shared" ref="M44" si="92">+M43*(1+(L44*(B44-B43)/365))</f>
        <v>100.28109482584452</v>
      </c>
      <c r="N44" s="32">
        <f t="shared" ref="N44" si="93">+M44/100</f>
        <v>1.0028109482584453</v>
      </c>
      <c r="O44" s="33">
        <f>COUNT($B$20:B44)/12</f>
        <v>2.0833333333333335</v>
      </c>
      <c r="P44" s="32">
        <f t="shared" ref="P44" si="94">-1+(N44^(1/O44))</f>
        <v>1.3482704675087387E-3</v>
      </c>
      <c r="Q44" s="43">
        <f t="shared" ref="Q44" si="95">+(J44-P44)/K44</f>
        <v>3.2535637250828167</v>
      </c>
    </row>
    <row r="45" spans="2:17">
      <c r="B45" s="29">
        <v>42794</v>
      </c>
      <c r="C45" s="30">
        <f>+C44+1919681</f>
        <v>20906070.809999999</v>
      </c>
      <c r="D45" s="31">
        <v>21985943.25</v>
      </c>
      <c r="E45" s="31">
        <v>211164.86</v>
      </c>
      <c r="F45" s="32">
        <v>4.8538000000000001E-3</v>
      </c>
      <c r="G45" s="32">
        <f>+F45+1</f>
        <v>1.0048538</v>
      </c>
      <c r="H45" s="48">
        <f>+G45*G44*G43*G42*G41*G40*G39*G38*G37*G36*G35*G34*G33*G32*G31*G30*G29*G28*G27*G26*G25*G24*G23*G22*G21</f>
        <v>1.2176319994183595</v>
      </c>
      <c r="I45" s="40">
        <f t="shared" ref="I45" si="96">+H45-1</f>
        <v>0.21763199941835953</v>
      </c>
      <c r="J45" s="32">
        <f t="shared" ref="J45" si="97">+(1+I45)^(365/(B45-$B$20))-1</f>
        <v>9.9320484367672934E-2</v>
      </c>
      <c r="K45" s="32">
        <f>STDEV($F$21:F45)*(12^0.5)</f>
        <v>2.9961566137202977E-2</v>
      </c>
      <c r="L45" s="42">
        <v>4.2589999999999998E-3</v>
      </c>
      <c r="M45" s="33">
        <f t="shared" ref="M45" si="98">+M44*(1+(L45*(B45-B44)/365))</f>
        <v>100.31385844535184</v>
      </c>
      <c r="N45" s="32">
        <f t="shared" ref="N45" si="99">+M45/100</f>
        <v>1.0031385844535183</v>
      </c>
      <c r="O45" s="33">
        <f>COUNT($B$20:B45)/12</f>
        <v>2.1666666666666665</v>
      </c>
      <c r="P45" s="32">
        <f t="shared" ref="P45" si="100">-1+(N45^(1/O45))</f>
        <v>1.4473553533038697E-3</v>
      </c>
      <c r="Q45" s="43">
        <f t="shared" ref="Q45" si="101">+(J45-P45)/K45</f>
        <v>3.2666225979703039</v>
      </c>
    </row>
    <row r="46" spans="2:17">
      <c r="B46" s="29">
        <v>42825</v>
      </c>
      <c r="C46" s="30">
        <f>+C45</f>
        <v>20906070.809999999</v>
      </c>
      <c r="D46" s="31">
        <v>21966334.390000001</v>
      </c>
      <c r="E46" s="31">
        <v>115180.83</v>
      </c>
      <c r="F46" s="32">
        <v>4.3698499999999998E-3</v>
      </c>
      <c r="G46" s="32">
        <f>+F46+1</f>
        <v>1.00436985</v>
      </c>
      <c r="H46" s="48">
        <f>+G46*G45*G44*G43*G42*G41*G40*G39*G38*G37*G36*G35*G34*G33*G32*G31*G30*G29*G28*G27*G26*G25*G24*G23*G22*G21</f>
        <v>1.222952868611018</v>
      </c>
      <c r="I46" s="40">
        <f t="shared" ref="I46" si="102">+H46-1</f>
        <v>0.22295286861101804</v>
      </c>
      <c r="J46" s="32">
        <f t="shared" ref="J46" si="103">+(1+I46)^(365/(B46-$B$20))-1</f>
        <v>9.7451922379920397E-2</v>
      </c>
      <c r="K46" s="32">
        <f>STDEV($F$21:F46)*(12^0.5)</f>
        <v>2.9456398930705455E-2</v>
      </c>
      <c r="L46" s="42">
        <v>7.2529999999999999E-3</v>
      </c>
      <c r="M46" s="33">
        <f t="shared" ref="M46" si="104">+M45*(1+(L46*(B46-B45)/365))</f>
        <v>100.37565260665166</v>
      </c>
      <c r="N46" s="32">
        <f t="shared" ref="N46" si="105">+M46/100</f>
        <v>1.0037565260665167</v>
      </c>
      <c r="O46" s="33">
        <f>COUNT($B$20:B46)/12</f>
        <v>2.25</v>
      </c>
      <c r="P46" s="32">
        <f t="shared" ref="P46" si="106">-1+(N46^(1/O46))</f>
        <v>1.6678283669548932E-3</v>
      </c>
      <c r="Q46" s="43">
        <f t="shared" ref="Q46" si="107">+(J46-P46)/K46</f>
        <v>3.2517244975630684</v>
      </c>
    </row>
    <row r="47" spans="2:17">
      <c r="B47" s="29">
        <v>42855</v>
      </c>
      <c r="C47" s="30">
        <f>+C46+383936</f>
        <v>21290006.809999999</v>
      </c>
      <c r="D47" s="31">
        <v>22257681.5</v>
      </c>
      <c r="E47" s="31">
        <v>230361.67</v>
      </c>
      <c r="F47" s="32">
        <v>6.2284999999999997E-3</v>
      </c>
      <c r="G47" s="32">
        <f>+F47+1</f>
        <v>1.0062285</v>
      </c>
      <c r="H47" s="48">
        <f>+G47*G46*G45*G44*G43*G42*G41*G40*G39*G38*G37*G36*G35*G34*G33*G32*G31*G30*G29*G28*G27*G26*G25*G24*G23*G22*G21</f>
        <v>1.2305700305531619</v>
      </c>
      <c r="I47" s="40">
        <f t="shared" ref="I47" si="108">+H47-1</f>
        <v>0.23057003055316194</v>
      </c>
      <c r="J47" s="32">
        <f t="shared" ref="J47" si="109">+(1+I47)^(365/(B47-$B$20))-1</f>
        <v>9.675167719439326E-2</v>
      </c>
      <c r="K47" s="32">
        <f>STDEV($F$21:F47)*(12^0.5)</f>
        <v>2.8903498260517382E-2</v>
      </c>
      <c r="L47" s="42">
        <v>6.5929999999999999E-3</v>
      </c>
      <c r="M47" s="33">
        <f t="shared" ref="M47" si="110">+M46*(1+(L47*(B47-B46)/365))</f>
        <v>100.43004521029295</v>
      </c>
      <c r="N47" s="32">
        <f t="shared" ref="N47" si="111">+M47/100</f>
        <v>1.0043004521029295</v>
      </c>
      <c r="O47" s="33">
        <f>COUNT($B$20:B47)/12</f>
        <v>2.3333333333333335</v>
      </c>
      <c r="P47" s="32">
        <f t="shared" ref="P47" si="112">-1+(N47^(1/O47))</f>
        <v>1.8407914306293183E-3</v>
      </c>
      <c r="Q47" s="43">
        <f t="shared" ref="Q47" si="113">+(J47-P47)/K47</f>
        <v>3.2837162099998691</v>
      </c>
    </row>
    <row r="48" spans="2:17">
      <c r="B48" s="29">
        <v>42886</v>
      </c>
      <c r="C48" s="30">
        <f>+C47</f>
        <v>21290006.809999999</v>
      </c>
      <c r="D48" s="31">
        <v>22297285.93</v>
      </c>
      <c r="E48" s="31">
        <v>153574.45000000001</v>
      </c>
      <c r="F48" s="32">
        <v>8.7395000000000007E-3</v>
      </c>
      <c r="G48" s="32">
        <f>+F48+1</f>
        <v>1.0087394999999999</v>
      </c>
      <c r="H48" s="48">
        <f>+G48*G47*G46*G45*G44*G43*G42*G41*G40*G39*G38*G37*G36*G35*G34*G33*G32*G31*G30*G29*G28*G27*G26*G25*G24*G23*G22*G21</f>
        <v>1.2413245973351812</v>
      </c>
      <c r="I48" s="40">
        <f t="shared" ref="I48" si="114">+H48-1</f>
        <v>0.24132459733518119</v>
      </c>
      <c r="J48" s="32">
        <f t="shared" ref="J48" si="115">+(1+I48)^(365/(B48-$B$20))-1</f>
        <v>9.7155297479690761E-2</v>
      </c>
      <c r="K48" s="32">
        <f>STDEV($F$21:F48)*(12^0.5)</f>
        <v>2.837064060404353E-2</v>
      </c>
      <c r="L48" s="50">
        <v>8.5730000000000008E-3</v>
      </c>
      <c r="M48" s="33">
        <f t="shared" ref="M48" si="116">+M47*(1+(L48*(B48-B47)/365))</f>
        <v>100.50317011469082</v>
      </c>
      <c r="N48" s="32">
        <f t="shared" ref="N48" si="117">+M48/100</f>
        <v>1.0050317011469081</v>
      </c>
      <c r="O48" s="33">
        <f>COUNT($B$20:B48)/12</f>
        <v>2.4166666666666665</v>
      </c>
      <c r="P48" s="32">
        <f t="shared" ref="P48" si="118">-1+(N48^(1/O48))</f>
        <v>2.0790207010663586E-3</v>
      </c>
      <c r="Q48" s="43">
        <f t="shared" ref="Q48" si="119">+(J48-P48)/K48</f>
        <v>3.3512206546747358</v>
      </c>
    </row>
    <row r="49" spans="2:17" ht="6" customHeight="1">
      <c r="B49" s="29"/>
      <c r="C49" s="30"/>
      <c r="D49" s="31"/>
      <c r="E49" s="31"/>
      <c r="F49" s="32"/>
      <c r="G49" s="32"/>
      <c r="H49" s="32"/>
      <c r="I49" s="40"/>
      <c r="J49" s="32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21290006.809999999</v>
      </c>
      <c r="D50" s="38">
        <f>D48</f>
        <v>22297285.93</v>
      </c>
      <c r="E50" s="38">
        <f>+SUM(E20:E48)</f>
        <v>2987022.9699999997</v>
      </c>
      <c r="F50" s="39">
        <f>F48</f>
        <v>8.7395000000000007E-3</v>
      </c>
      <c r="G50" s="39"/>
      <c r="H50" s="39"/>
      <c r="I50" s="41">
        <f>I48</f>
        <v>0.24132459733518119</v>
      </c>
      <c r="J50" s="39">
        <f>J48</f>
        <v>9.7155297479690761E-2</v>
      </c>
      <c r="K50" s="39">
        <f>K48</f>
        <v>2.837064060404353E-2</v>
      </c>
      <c r="L50" s="39"/>
      <c r="M50" s="39"/>
      <c r="N50" s="39"/>
      <c r="O50" s="39"/>
      <c r="P50" s="39"/>
      <c r="Q50" s="44">
        <f>Q48</f>
        <v>3.3512206546747358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>
      <c r="J52" s="52"/>
    </row>
    <row r="53" spans="2:17">
      <c r="J53" s="53"/>
    </row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2017-07-19T18:00:41Z</dcterms:modified>
</cp:coreProperties>
</file>