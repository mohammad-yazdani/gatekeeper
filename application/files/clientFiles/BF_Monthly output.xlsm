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<sst xmlns="http://schemas.openxmlformats.org/spreadsheetml/2006/main" uniqueCount="27">
  <si>
    <t>Orchard Managed Fund</t>
  </si>
  <si>
    <t>Black Forest LTD</t>
  </si>
  <si>
    <t>Unitholder</t>
  </si>
  <si>
    <t>The J. Paul Getty Trust</t>
  </si>
  <si>
    <t>Month End</t>
  </si>
  <si>
    <t>Number of Loans Invested</t>
  </si>
  <si>
    <t>Initial Capital Commitment</t>
  </si>
  <si>
    <t>Undrawn Capital Commitment</t>
  </si>
  <si>
    <t>Unhide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</si>
  <si>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</si>
  <si>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</si>
  <si>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</si>
  <si>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</si>
  <si>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</si>
  <si>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</si>
  <si>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</si>
  <si>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</si>
  <si>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Returns of Capital</t>
  </si>
  <si>
    <t>Distributions</t>
  </si>
  <si>
    <t>Monthly Return</t>
  </si>
  <si>
    <t>Since Inception</t>
  </si>
  <si>
    <t>Std Deviation</t>
  </si>
  <si>
    <t>T-Bill Rate</t>
  </si>
  <si>
    <t>Sharpe Ratio</t>
  </si>
  <si>
    <t>23-09-2017</t>
  </si>
  <si>
    <t>0.67%</t>
  </si>
  <si>
    <t>Total</t>
  </si>
</sst>
</file>

<file path=xl/styles.xml><?xml version="1.0" encoding="utf-8"?>
<styleSheet xmlns="http://schemas.openxmlformats.org/spreadsheetml/2006/main">
  <numFmts count="11">
    <numFmt formatCode="_-* #,##0.00_-;\-* #,##0.00_-;_-* &quot;-&quot;??_-;_-@_-" numFmtId="164"/>
    <numFmt formatCode="_(&quot;$&quot;* #,##0.00_);_(&quot;$&quot;* \(#,##0.00\);_(&quot;$&quot;* &quot;-&quot;??_);_(@_)" numFmtId="165"/>
    <numFmt formatCode="_(* #,##0.00_);_(* \(#,##0.00\);_(* &quot;-&quot;??_);_(@_)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0.0000" numFmtId="174"/>
  </numFmts>
  <fonts count="5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borderId="0" fillId="0" fontId="1" numFmtId="169"/>
    <xf borderId="0" fillId="0" fontId="6" numFmtId="169"/>
    <xf borderId="0" fillId="0" fontId="4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5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6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40" fontId="13" numFmtId="169"/>
    <xf borderId="0" fillId="41" fontId="13" numFmtId="169"/>
    <xf borderId="0" fillId="42" fontId="13" numFmtId="169"/>
    <xf borderId="0" fillId="37" fontId="13" numFmtId="169"/>
    <xf borderId="0" fillId="38" fontId="13" numFmtId="169"/>
    <xf borderId="0" fillId="43" fontId="13" numFmtId="169"/>
    <xf borderId="0" fillId="27" fontId="15" numFmtId="169"/>
    <xf borderId="1" fillId="25" fontId="16" numFmtId="169"/>
    <xf borderId="1" fillId="25" fontId="16" numFmtId="169"/>
    <xf borderId="12" fillId="44" fontId="18" numFmtId="169"/>
    <xf borderId="0" fillId="0" fontId="6" numFmtId="43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6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8" fontId="24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" fillId="31" fontId="45" numFmtId="169"/>
    <xf borderId="0" fillId="27" fontId="15" numFmtId="169"/>
    <xf borderId="0" fillId="0" fontId="43" numFmtId="169"/>
    <xf borderId="0" fillId="45" fontId="49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15" fillId="25" fontId="50" numFmtId="169"/>
    <xf borderId="0" fillId="0" fontId="6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6" numFmtId="169"/>
    <xf borderId="0" fillId="0" fontId="36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6" fillId="0" fontId="37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6" numFmtId="169"/>
    <xf borderId="0" fillId="0" fontId="6" numFmtId="165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5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4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5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5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5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43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40" numFmtId="0"/>
    <xf borderId="0" fillId="0" fontId="6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5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5"/>
    <xf borderId="0" fillId="0" fontId="6" numFmtId="169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5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1" fillId="25" fontId="16" numFmtId="169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7" fontId="15" numFmtId="169"/>
    <xf borderId="0" fillId="0" fontId="43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8" numFmtId="169"/>
    <xf borderId="0" fillId="0" fontId="34" numFmtId="169"/>
    <xf borderId="0" fillId="0" fontId="39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5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5" fontId="34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1" numFmtId="169"/>
    <xf borderId="0" fillId="0" fontId="1" numFmtId="164"/>
    <xf borderId="0" fillId="0" fontId="23" numFmtId="169"/>
    <xf borderId="2" fillId="0" fontId="17" numFmtId="169"/>
    <xf borderId="0" fillId="0" fontId="6" numFmtId="169"/>
    <xf borderId="0" fillId="0" fontId="1" numFmtId="164"/>
    <xf borderId="0" fillId="0" fontId="1" numFmtId="164"/>
    <xf borderId="0" fillId="0" fontId="1" numFmtId="169"/>
    <xf borderId="0" fillId="0" fontId="14" numFmtId="169"/>
    <xf borderId="0" fillId="0" fontId="1" numFmtId="164"/>
    <xf borderId="0" fillId="0" fontId="1" numFmtId="164"/>
    <xf borderId="0" fillId="0" fontId="1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6" numFmtId="43"/>
    <xf borderId="16" fillId="0" fontId="37" numFmtId="169"/>
    <xf borderId="0" fillId="0" fontId="1" numFmtId="169"/>
    <xf borderId="0" fillId="0" fontId="1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4"/>
    <xf borderId="0" fillId="0" fontId="1" numFmtId="164"/>
    <xf borderId="0" fillId="0" fontId="1" numFmtId="164"/>
    <xf borderId="0" fillId="0" fontId="1" numFmtId="169"/>
    <xf borderId="0" fillId="0" fontId="1" numFmtId="164"/>
    <xf borderId="0" fillId="0" fontId="1" numFmtId="164"/>
    <xf borderId="0" fillId="0" fontId="1" numFmtId="164"/>
    <xf borderId="16" fillId="0" fontId="37" numFmtId="169"/>
    <xf borderId="0" fillId="0" fontId="6" numFmtId="43"/>
    <xf borderId="0" fillId="0" fontId="6" numFmtId="43"/>
    <xf borderId="16" fillId="0" fontId="37" numFmtId="169"/>
    <xf borderId="0" fillId="0" fontId="1" numFmtId="169"/>
    <xf borderId="0" fillId="0" fontId="1" numFmtId="164"/>
    <xf borderId="0" fillId="0" fontId="1" numFmtId="164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169"/>
    <xf borderId="16" fillId="0" fontId="37" numFmtId="169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1" numFmtId="164"/>
    <xf borderId="0" fillId="0" fontId="1" numFmtId="164"/>
    <xf borderId="0" fillId="0" fontId="1" numFmtId="164"/>
    <xf borderId="0" fillId="0" fontId="1" numFmtId="164"/>
    <xf borderId="0" fillId="0" fontId="1" numFmtId="164"/>
    <xf borderId="0" fillId="0" fontId="1" numFmtId="164"/>
    <xf borderId="0" fillId="0" fontId="1" numFmtId="164"/>
    <xf borderId="0" fillId="0" fontId="1" numFmtId="164"/>
    <xf borderId="0" fillId="0" fontId="1" numFmtId="0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5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40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52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5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0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5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5"/>
    <xf borderId="0" fillId="0" fontId="6" numFmtId="169"/>
    <xf borderId="8" fillId="24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5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5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</cellStyleXfs>
  <cellXfs count="86">
    <xf borderId="0" fillId="0" fontId="0" numFmtId="169" pivotButton="0" quotePrefix="0" xfId="0"/>
    <xf borderId="0" fillId="46" fontId="0" numFmtId="169" pivotButton="0" quotePrefix="0" xfId="0"/>
    <xf borderId="0" fillId="46" fontId="53" numFmtId="170" pivotButton="0" quotePrefix="0" xfId="0"/>
    <xf borderId="0" fillId="46" fontId="0" numFmtId="169" pivotButton="0" quotePrefix="0" xfId="0"/>
    <xf borderId="0" fillId="46" fontId="0" numFmtId="4" pivotButton="0" quotePrefix="0" xfId="0"/>
    <xf borderId="0" fillId="46" fontId="2" numFmtId="169" pivotButton="0" quotePrefix="0" xfId="0"/>
    <xf borderId="0" fillId="46" fontId="0" numFmtId="164" pivotButton="0" quotePrefix="0" xfId="31498"/>
    <xf applyAlignment="1" borderId="0" fillId="46" fontId="0" numFmtId="171" pivotButton="0" quotePrefix="0" xfId="31498">
      <alignment horizontal="right"/>
    </xf>
    <xf borderId="0" fillId="46" fontId="53" numFmtId="10" pivotButton="0" quotePrefix="0" xfId="31499"/>
    <xf borderId="0" fillId="46" fontId="0" numFmtId="172" pivotButton="0" quotePrefix="0" xfId="0"/>
    <xf borderId="23" fillId="46" fontId="0" numFmtId="172" pivotButton="0" quotePrefix="0" xfId="0"/>
    <xf borderId="0" fillId="46" fontId="0" numFmtId="10" pivotButton="0" quotePrefix="0" xfId="31499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applyAlignment="1" borderId="0" fillId="46" fontId="2" numFmtId="169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1" pivotButton="0" quotePrefix="0" xfId="31498">
      <alignment horizontal="right"/>
    </xf>
    <xf applyAlignment="1" borderId="26" fillId="48" fontId="2" numFmtId="169" pivotButton="0" quotePrefix="0" xfId="0">
      <alignment horizontal="center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0" pivotButton="0" quotePrefix="0" xfId="31499"/>
    <xf borderId="0" fillId="46" fontId="54" numFmtId="173" pivotButton="0" quotePrefix="0" xfId="31498"/>
    <xf borderId="0" fillId="46" fontId="54" numFmtId="164" pivotButton="0" quotePrefix="0" xfId="31498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0" pivotButton="0" quotePrefix="0" xfId="31499"/>
    <xf borderId="24" fillId="46" fontId="54" numFmtId="10" pivotButton="0" quotePrefix="0" xfId="31499"/>
    <xf borderId="28" fillId="46" fontId="54" numFmtId="10" pivotButton="0" quotePrefix="0" xfId="31499"/>
    <xf borderId="0" fillId="46" fontId="54" numFmtId="167" pivotButton="0" quotePrefix="0" xfId="0"/>
    <xf borderId="24" fillId="46" fontId="54" numFmtId="164" pivotButton="0" quotePrefix="0" xfId="31498"/>
    <xf borderId="28" fillId="46" fontId="54" numFmtId="164" pivotButton="0" quotePrefix="0" xfId="31499"/>
    <xf applyAlignment="1" borderId="0" fillId="46" fontId="55" numFmtId="169" pivotButton="0" quotePrefix="0" xfId="0">
      <alignment horizontal="right"/>
    </xf>
    <xf borderId="0" fillId="49" fontId="54" numFmtId="174" pivotButton="0" quotePrefix="0" xfId="31499"/>
    <xf borderId="0" fillId="49" fontId="54" numFmtId="167" pivotButton="0" quotePrefix="0" xfId="0"/>
    <xf borderId="0" fillId="46" fontId="0" numFmtId="171" pivotButton="0" quotePrefix="0" xfId="31498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0" fillId="46" fontId="0" numFmtId="171" pivotButton="0" quotePrefix="0" xfId="31498"/>
    <xf applyAlignment="1" borderId="0" fillId="46" fontId="2" numFmtId="171" pivotButton="0" quotePrefix="0" xfId="31498">
      <alignment horizontal="right"/>
    </xf>
    <xf applyAlignment="1" borderId="0" fillId="46" fontId="55" numFmtId="169" pivotButton="0" quotePrefix="0" xfId="0">
      <alignment horizontal="right"/>
    </xf>
    <xf borderId="0" fillId="46" fontId="0" numFmtId="164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borderId="0" fillId="0" fontId="0" numFmtId="0" pivotButton="0" quotePrefix="0" xfId="0"/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9" fontId="54" numFmtId="174" pivotButton="0" quotePrefix="0" xfId="31499"/>
    <xf borderId="0" fillId="46" fontId="54" numFmtId="167" pivotButton="0" quotePrefix="0" xfId="0"/>
    <xf borderId="0" fillId="46" fontId="54" numFmtId="164" pivotButton="0" quotePrefix="0" xfId="31498"/>
    <xf borderId="0" fillId="46" fontId="54" numFmtId="173" pivotButton="0" quotePrefix="0" xfId="31498"/>
    <xf borderId="24" fillId="46" fontId="54" numFmtId="164" pivotButton="0" quotePrefix="0" xfId="31498"/>
    <xf borderId="0" fillId="49" fontId="54" numFmtId="167" pivotButton="0" quotePrefix="0" xfId="0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8" fillId="46" fontId="54" numFmtId="164" pivotButton="0" quotePrefix="0" xfId="31499"/>
    <xf borderId="0" fillId="46" fontId="0" numFmtId="172" pivotButton="0" quotePrefix="0" xfId="0"/>
    <xf borderId="0" fillId="46" fontId="53" numFmtId="170" pivotButton="0" quotePrefix="0" xfId="0"/>
  </cellXfs>
  <cellStyles count="43807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R57"/>
  <sheetViews>
    <sheetView tabSelected="1" topLeftCell="B23" workbookViewId="0">
      <selection activeCell="T29" sqref="T29"/>
    </sheetView>
  </sheetViews>
  <sheetFormatPr baseColWidth="8" defaultColWidth="9.140625" defaultRowHeight="15" outlineLevelCol="0"/>
  <cols>
    <col bestFit="1" customWidth="1" max="1" min="1" style="48" width="2"/>
    <col bestFit="1" customWidth="1" max="2" min="2" style="48" width="12.140625"/>
    <col customWidth="1" max="4" min="3" style="48" width="16.140625"/>
    <col customWidth="1" max="5" min="5" style="48" width="16"/>
    <col customWidth="1" max="6" min="6" style="48" width="14.85546875"/>
    <col customWidth="1" max="7" min="7" style="48" width="16.42578125"/>
    <col customWidth="1" hidden="1" max="9" min="8" style="48" width="19"/>
    <col customWidth="1" max="10" min="10" style="48" width="16.5703125"/>
    <col bestFit="1" customWidth="1" max="11" min="11" style="48" width="17.7109375"/>
    <col customWidth="1" max="17" min="12" style="48" width="14.85546875"/>
    <col customWidth="1" max="18" min="18" style="48" width="14"/>
    <col customWidth="1" max="16384" min="19" style="48" width="9.140625"/>
  </cols>
  <sheetData>
    <row r="2" spans="1:18">
      <c r="K2" s="11" t="n"/>
      <c r="L2" s="11" t="n"/>
      <c r="M2" s="11" t="n"/>
      <c r="N2" s="11" t="n"/>
      <c r="O2" s="11" t="n"/>
      <c r="P2" s="11" t="n"/>
      <c r="Q2" s="11" t="n"/>
      <c r="R2" s="11" t="n"/>
    </row>
    <row r="3" spans="1:18">
      <c r="K3" s="11" t="n"/>
      <c r="L3" s="11" t="n"/>
      <c r="M3" s="11" t="n"/>
      <c r="N3" s="11" t="n"/>
      <c r="O3" s="11" t="n"/>
      <c r="P3" s="11" t="n"/>
      <c r="Q3" s="11" t="n"/>
      <c r="R3" s="11" t="n"/>
    </row>
    <row r="4" spans="1:18">
      <c r="K4" s="11" t="n"/>
      <c r="L4" s="11" t="n"/>
      <c r="M4" s="11" t="n"/>
      <c r="N4" s="11" t="n"/>
      <c r="O4" s="11" t="n"/>
      <c r="P4" s="11" t="n"/>
      <c r="Q4" s="11" t="n"/>
      <c r="R4" s="11" t="n"/>
    </row>
    <row r="5" spans="1:18">
      <c r="K5" s="11" t="n"/>
      <c r="L5" s="11" t="n"/>
      <c r="M5" s="11" t="n"/>
      <c r="N5" s="11" t="n"/>
      <c r="O5" s="11" t="n"/>
      <c r="P5" s="11" t="n"/>
      <c r="Q5" s="11" t="n"/>
      <c r="R5" s="11" t="n"/>
    </row>
    <row r="6" spans="1:18">
      <c r="K6" s="11" t="n"/>
      <c r="L6" s="11" t="n"/>
      <c r="M6" s="11" t="n"/>
      <c r="N6" s="11" t="n"/>
      <c r="O6" s="11" t="n"/>
      <c r="P6" s="11" t="n"/>
      <c r="Q6" s="11" t="n"/>
      <c r="R6" s="11" t="n"/>
    </row>
    <row r="7" spans="1:18">
      <c r="K7" s="11" t="n"/>
      <c r="L7" s="11" t="n"/>
      <c r="M7" s="11" t="n"/>
      <c r="N7" s="11" t="n"/>
      <c r="O7" s="11" t="n"/>
      <c r="P7" s="11" t="n"/>
      <c r="Q7" s="11" t="n"/>
      <c r="R7" s="11" t="n"/>
    </row>
    <row r="8" spans="1:18">
      <c r="K8" s="11" t="n"/>
      <c r="L8" s="11" t="n"/>
      <c r="M8" s="11" t="n"/>
      <c r="N8" s="11" t="n"/>
      <c r="O8" s="11" t="n"/>
      <c r="P8" s="11" t="n"/>
      <c r="Q8" s="11" t="n"/>
      <c r="R8" s="11" t="n"/>
    </row>
    <row customFormat="1" r="9" s="48" spans="1:18">
      <c r="B9" s="49" t="s">
        <v>0</v>
      </c>
      <c r="D9" s="50" t="n"/>
      <c r="E9" s="51" t="n"/>
      <c r="F9" s="51" t="s">
        <v>1</v>
      </c>
      <c r="H9" s="52" t="n"/>
      <c r="I9" s="52" t="n"/>
      <c r="K9" s="11" t="n"/>
      <c r="L9" s="11" t="n"/>
      <c r="M9" s="11" t="n"/>
      <c r="N9" s="11" t="n"/>
      <c r="O9" s="11" t="n"/>
      <c r="P9" s="11" t="n"/>
      <c r="Q9" s="11" t="n"/>
      <c r="R9" s="11" t="n"/>
    </row>
    <row customFormat="1" r="10" s="48" spans="1:18">
      <c r="B10" s="49" t="s">
        <v>2</v>
      </c>
      <c r="D10" s="50" t="n"/>
      <c r="E10" s="51" t="n"/>
      <c r="F10" s="51" t="s">
        <v>3</v>
      </c>
      <c r="H10" s="52" t="n"/>
      <c r="I10" s="52" t="n"/>
      <c r="K10" s="11" t="n"/>
      <c r="L10" s="11" t="n"/>
      <c r="M10" s="11" t="n"/>
      <c r="N10" s="11" t="n"/>
      <c r="O10" s="11" t="n"/>
      <c r="P10" s="11" t="n"/>
      <c r="Q10" s="11" t="n"/>
      <c r="R10" s="11" t="n"/>
    </row>
    <row customFormat="1" r="11" s="48" spans="1:18">
      <c r="B11" s="49" t="s">
        <v>4</v>
      </c>
      <c r="D11" s="50" t="n"/>
      <c r="E11" s="27" t="n"/>
      <c r="F11" s="27" t="n">
        <v>42886</v>
      </c>
      <c r="H11" s="16" t="n"/>
      <c r="I11" s="16" t="n"/>
    </row>
    <row customFormat="1" r="12" s="48" spans="1:18">
      <c r="B12" s="49" t="s">
        <v>5</v>
      </c>
      <c r="D12" s="50" t="n"/>
      <c r="E12" s="53" t="n"/>
      <c r="F12" s="53" t="n">
        <v>9</v>
      </c>
      <c r="H12" s="16" t="n"/>
      <c r="I12" s="16" t="n"/>
    </row>
    <row customFormat="1" r="13" s="48" spans="1:18">
      <c r="B13" s="49" t="s">
        <v>6</v>
      </c>
      <c r="D13" s="50" t="n"/>
      <c r="E13" s="53" t="n"/>
      <c r="F13" s="53" t="n">
        <v>75000000</v>
      </c>
      <c r="G13" s="54">
        <f>F13-F14</f>
        <v/>
      </c>
      <c r="H13" s="55" t="n"/>
      <c r="I13" s="55" t="n"/>
    </row>
    <row customFormat="1" r="14" s="48" spans="1:18">
      <c r="B14" s="49" t="s">
        <v>7</v>
      </c>
      <c r="D14" s="50" t="n"/>
      <c r="E14" s="53" t="n"/>
      <c r="F14" s="53">
        <f>F13-C56</f>
        <v/>
      </c>
      <c r="G14" s="56" t="s">
        <v>8</v>
      </c>
      <c r="H14" s="55" t="n"/>
      <c r="I14" s="55" t="n"/>
    </row>
    <row customFormat="1" r="15" s="48" spans="1:18">
      <c r="B15" s="49" t="n"/>
      <c r="D15" s="57" t="n"/>
      <c r="G15" s="58" t="n"/>
      <c r="H15" s="58" t="n"/>
      <c r="I15" s="58" t="n"/>
    </row>
    <row customFormat="1" r="16" s="48" spans="1:18">
      <c r="B16" s="49" t="n"/>
      <c r="D16" s="57" t="n"/>
      <c r="G16" s="58" t="n"/>
      <c r="H16" s="58" t="n"/>
      <c r="I16" s="58" t="n"/>
    </row>
    <row r="17" spans="1:18">
      <c r="C17" s="59" t="s">
        <v>9</v>
      </c>
      <c r="D17" s="60" t="s">
        <v>9</v>
      </c>
      <c r="E17" s="60" t="s">
        <v>9</v>
      </c>
      <c r="F17" s="60" t="s">
        <v>9</v>
      </c>
      <c r="G17" s="60" t="s">
        <v>10</v>
      </c>
      <c r="H17" s="60" t="n"/>
      <c r="I17" s="60" t="n"/>
      <c r="J17" s="61" t="s">
        <v>11</v>
      </c>
      <c r="K17" s="60" t="s">
        <v>12</v>
      </c>
      <c r="L17" s="60" t="s">
        <v>13</v>
      </c>
      <c r="M17" s="60" t="n"/>
      <c r="N17" s="60" t="n"/>
      <c r="O17" s="60" t="n"/>
      <c r="P17" s="60" t="n"/>
      <c r="Q17" s="60" t="n"/>
      <c r="R17" s="61" t="s">
        <v>13</v>
      </c>
    </row>
    <row customHeight="1" ht="14.25" r="18" s="62" spans="1:18">
      <c r="B18" s="63" t="s">
        <v>14</v>
      </c>
      <c r="C18" s="64" t="s">
        <v>15</v>
      </c>
      <c r="D18" s="65" t="s">
        <v>16</v>
      </c>
      <c r="E18" s="65" t="s">
        <v>17</v>
      </c>
      <c r="F18" s="65" t="s">
        <v>18</v>
      </c>
      <c r="G18" s="65" t="s">
        <v>19</v>
      </c>
      <c r="H18" s="65" t="n"/>
      <c r="I18" s="65" t="n"/>
      <c r="J18" s="66" t="s">
        <v>20</v>
      </c>
      <c r="K18" s="65" t="s">
        <v>20</v>
      </c>
      <c r="L18" s="65" t="s">
        <v>21</v>
      </c>
      <c r="M18" s="65" t="s">
        <v>22</v>
      </c>
      <c r="N18" s="65" t="n"/>
      <c r="O18" s="65" t="n"/>
      <c r="P18" s="65" t="n"/>
      <c r="Q18" s="65" t="n"/>
      <c r="R18" s="66" t="s">
        <v>23</v>
      </c>
    </row>
    <row hidden="1" r="19" s="62" spans="1:18">
      <c r="B19" s="67" t="n">
        <v>41838</v>
      </c>
      <c r="C19" s="68" t="n"/>
      <c r="D19" s="69" t="n"/>
      <c r="E19" s="69" t="n"/>
      <c r="F19" s="69" t="n"/>
      <c r="G19" s="69" t="n"/>
      <c r="H19" s="69" t="n"/>
      <c r="I19" s="69" t="n"/>
      <c r="J19" s="70" t="n"/>
      <c r="K19" s="69" t="n"/>
      <c r="L19" s="69" t="n"/>
      <c r="M19" s="69" t="s">
        <v>22</v>
      </c>
      <c r="N19" s="69" t="n"/>
      <c r="O19" s="69" t="n"/>
      <c r="P19" s="69" t="n"/>
      <c r="Q19" s="69" t="n"/>
      <c r="R19" s="70" t="n"/>
    </row>
    <row r="20" spans="1:18">
      <c r="B20" s="71" t="n">
        <v>41851</v>
      </c>
      <c r="C20" s="72" t="n">
        <v>7231500</v>
      </c>
      <c r="D20" s="73" t="n">
        <v>7215225.96</v>
      </c>
      <c r="E20" s="73" t="n">
        <v>0</v>
      </c>
      <c r="F20" s="73" t="n">
        <v>0</v>
      </c>
      <c r="G20" s="32" t="n">
        <v>-0.002250437</v>
      </c>
      <c r="H20" s="32">
        <f>+G20+1</f>
        <v/>
      </c>
      <c r="I20" s="74">
        <f>+H20</f>
        <v/>
      </c>
      <c r="J20" s="39">
        <f>+I20-1</f>
        <v/>
      </c>
      <c r="K20" s="32">
        <f>+(1+J20)^(365/(B20-$B$19))-1</f>
        <v/>
      </c>
      <c r="L20" s="32" t="n"/>
      <c r="M20" s="75" t="n">
        <v>0</v>
      </c>
      <c r="N20" s="76" t="n">
        <v>100</v>
      </c>
      <c r="O20" s="32">
        <f>+N20/100</f>
        <v/>
      </c>
      <c r="P20" s="77">
        <f>COUNT($B$19:B20)/12</f>
        <v/>
      </c>
      <c r="Q20" s="32">
        <f>-1+(O20^(1/P20))</f>
        <v/>
      </c>
      <c r="R20" s="39" t="n"/>
    </row>
    <row r="21" spans="1:18">
      <c r="B21" s="71" t="n">
        <v>41882</v>
      </c>
      <c r="C21" s="72">
        <f>+C20</f>
        <v/>
      </c>
      <c r="D21" s="73" t="n">
        <v>7265699.54</v>
      </c>
      <c r="E21" s="73" t="n">
        <v>0</v>
      </c>
      <c r="F21" s="73" t="n">
        <v>0</v>
      </c>
      <c r="G21" s="32" t="n">
        <v>0.006995426</v>
      </c>
      <c r="H21" s="32">
        <f>+G21+1</f>
        <v/>
      </c>
      <c r="I21" s="74">
        <f>+H21*H20</f>
        <v/>
      </c>
      <c r="J21" s="39">
        <f>+I21-1</f>
        <v/>
      </c>
      <c r="K21" s="32">
        <f>+(1+J21)^(365/(B21-$B$19))-1</f>
        <v/>
      </c>
      <c r="L21" s="32">
        <f>STDEV($G$20:G21)*(12^0.5)</f>
        <v/>
      </c>
      <c r="M21" s="75" t="n">
        <v>0.000101</v>
      </c>
      <c r="N21" s="77">
        <f>+N20*(1+(M21*(B21-B20)/365))</f>
        <v/>
      </c>
      <c r="O21" s="32">
        <f>+N21/100</f>
        <v/>
      </c>
      <c r="P21" s="77">
        <f>COUNT($B$19:B21)/12</f>
        <v/>
      </c>
      <c r="Q21" s="32">
        <f>-1+(O21^(1/P21))</f>
        <v/>
      </c>
      <c r="R21" s="78">
        <f>+(K21-Q21)/L21</f>
        <v/>
      </c>
    </row>
    <row r="22" spans="1:18">
      <c r="B22" s="71" t="n">
        <v>41912</v>
      </c>
      <c r="C22" s="72">
        <f>+C21+1515000+9735000</f>
        <v/>
      </c>
      <c r="D22" s="73" t="n">
        <v>18331617.89</v>
      </c>
      <c r="E22" s="73" t="n">
        <v>0</v>
      </c>
      <c r="F22" s="73" t="n">
        <v>0</v>
      </c>
      <c r="G22" s="32" t="n">
        <v>-0.00994192</v>
      </c>
      <c r="H22" s="32">
        <f>+G22+1</f>
        <v/>
      </c>
      <c r="I22" s="74">
        <f>+H22*H21*H20</f>
        <v/>
      </c>
      <c r="J22" s="39">
        <f>+I22-1</f>
        <v/>
      </c>
      <c r="K22" s="32">
        <f>+(1+J22)^(365/(B22-$B$19))-1</f>
        <v/>
      </c>
      <c r="L22" s="32">
        <f>STDEV($G$20:G22)*(12^0.5)</f>
        <v/>
      </c>
      <c r="M22" s="75" t="n">
        <v>0.000101</v>
      </c>
      <c r="N22" s="77">
        <f>+N21*(1+(M22*(B22-B21)/365))</f>
        <v/>
      </c>
      <c r="O22" s="32">
        <f>+N22/100</f>
        <v/>
      </c>
      <c r="P22" s="77">
        <f>COUNT($B$19:B22)/12</f>
        <v/>
      </c>
      <c r="Q22" s="32">
        <f>-1+(O22^(1/P22))</f>
        <v/>
      </c>
      <c r="R22" s="78">
        <f>+(K22-Q22)/L22</f>
        <v/>
      </c>
    </row>
    <row r="23" spans="1:18">
      <c r="B23" s="71" t="n">
        <v>41943</v>
      </c>
      <c r="C23" s="72">
        <f>+C22</f>
        <v/>
      </c>
      <c r="D23" s="73" t="n">
        <v>18270414.35</v>
      </c>
      <c r="E23" s="73" t="n">
        <v>0</v>
      </c>
      <c r="F23" s="73" t="n">
        <v>115174.39</v>
      </c>
      <c r="G23" s="32" t="n">
        <v>0.002962754</v>
      </c>
      <c r="H23" s="32">
        <f>+G23+1</f>
        <v/>
      </c>
      <c r="I23" s="74">
        <f>+H23*H22*H21*H20</f>
        <v/>
      </c>
      <c r="J23" s="39">
        <f>+I23-1</f>
        <v/>
      </c>
      <c r="K23" s="32">
        <f>+(1+J23)^(365/(B23-$B$19))-1</f>
        <v/>
      </c>
      <c r="L23" s="32">
        <f>STDEV($G$20:G23)*(12^0.5)</f>
        <v/>
      </c>
      <c r="M23" s="75" t="n">
        <v>-5.1e-05</v>
      </c>
      <c r="N23" s="77">
        <f>+N22*(1+(M23*(B23-B22)/365))</f>
        <v/>
      </c>
      <c r="O23" s="32">
        <f>+N23/100</f>
        <v/>
      </c>
      <c r="P23" s="77">
        <f>COUNT($B$19:B23)/12</f>
        <v/>
      </c>
      <c r="Q23" s="32">
        <f>-1+(O23^(1/P23))</f>
        <v/>
      </c>
      <c r="R23" s="78">
        <f>+(K23-Q23)/L23</f>
        <v/>
      </c>
    </row>
    <row r="24" spans="1:18">
      <c r="B24" s="71" t="n">
        <v>41973</v>
      </c>
      <c r="C24" s="72">
        <f>+C23+2304000</f>
        <v/>
      </c>
      <c r="D24" s="73" t="n">
        <v>20643627.43</v>
      </c>
      <c r="E24" s="73" t="n">
        <v>0</v>
      </c>
      <c r="F24" s="73" t="n">
        <v>0</v>
      </c>
      <c r="G24" s="32" t="n">
        <v>0.003364036</v>
      </c>
      <c r="H24" s="32">
        <f>+G24+1</f>
        <v/>
      </c>
      <c r="I24" s="74">
        <f>+H24*H23*H22*H21*H20</f>
        <v/>
      </c>
      <c r="J24" s="39">
        <f>+I24-1</f>
        <v/>
      </c>
      <c r="K24" s="32">
        <f>+(1+J24)^(365/(B24-$B$19))-1</f>
        <v/>
      </c>
      <c r="L24" s="32">
        <f>STDEV($G$20:G24)*(12^0.5)</f>
        <v/>
      </c>
      <c r="M24" s="75" t="n">
        <v>0.000355</v>
      </c>
      <c r="N24" s="77">
        <f>+N23*(1+(M24*(B24-B23)/365))</f>
        <v/>
      </c>
      <c r="O24" s="32">
        <f>+N24/100</f>
        <v/>
      </c>
      <c r="P24" s="77">
        <f>COUNT($B$19:B24)/12</f>
        <v/>
      </c>
      <c r="Q24" s="32">
        <f>-1+(O24^(1/P24))</f>
        <v/>
      </c>
      <c r="R24" s="78">
        <f>+(K24-Q24)/L24</f>
        <v/>
      </c>
    </row>
    <row r="25" spans="1:18">
      <c r="B25" s="71" t="n">
        <v>42004</v>
      </c>
      <c r="C25" s="72">
        <f>+C24</f>
        <v/>
      </c>
      <c r="D25" s="73" t="n">
        <v>20618577.12</v>
      </c>
      <c r="E25" s="73" t="n">
        <v>0</v>
      </c>
      <c r="F25" s="73" t="n">
        <v>0</v>
      </c>
      <c r="G25" s="32" t="n">
        <v>-0.0012134645</v>
      </c>
      <c r="H25" s="32">
        <f>+G25+1</f>
        <v/>
      </c>
      <c r="I25" s="74">
        <f>+H25*H24*H23*H22*H21*H20</f>
        <v/>
      </c>
      <c r="J25" s="39">
        <f>+I25-1</f>
        <v/>
      </c>
      <c r="K25" s="32">
        <f>+(1+J25)^(365/(B25-$B$19))-1</f>
        <v/>
      </c>
      <c r="L25" s="32">
        <f>STDEV($G$20:G25)*(12^0.5)</f>
        <v/>
      </c>
      <c r="M25" s="75" t="n">
        <v>0.000101</v>
      </c>
      <c r="N25" s="77">
        <f>+N24*(1+(M25*(B25-B24)/365))</f>
        <v/>
      </c>
      <c r="O25" s="32">
        <f>+N25/100</f>
        <v/>
      </c>
      <c r="P25" s="77">
        <f>COUNT($B$19:B25)/12</f>
        <v/>
      </c>
      <c r="Q25" s="32">
        <f>-1+(O25^(1/P25))</f>
        <v/>
      </c>
      <c r="R25" s="78">
        <f>+(K25-Q25)/L25</f>
        <v/>
      </c>
    </row>
    <row r="26" spans="1:18">
      <c r="B26" s="71" t="n">
        <v>42035</v>
      </c>
      <c r="C26" s="72">
        <f>+C25</f>
        <v/>
      </c>
      <c r="D26" s="73" t="n">
        <v>20489360.41</v>
      </c>
      <c r="E26" s="73" t="n">
        <v>0</v>
      </c>
      <c r="F26" s="73" t="n">
        <v>0</v>
      </c>
      <c r="G26" s="32" t="n">
        <v>-0.006267004</v>
      </c>
      <c r="H26" s="32">
        <f>+G26+1</f>
        <v/>
      </c>
      <c r="I26" s="74">
        <f>+H26*H25*H24*H23*H22*H21*H20</f>
        <v/>
      </c>
      <c r="J26" s="39">
        <f>+I26-1</f>
        <v/>
      </c>
      <c r="K26" s="32">
        <f>+(1+J26)^(365/(B26-$B$19))-1</f>
        <v/>
      </c>
      <c r="L26" s="32">
        <f>STDEV($G$20:G26)*(12^0.5)</f>
        <v/>
      </c>
      <c r="M26" s="75" t="n">
        <v>0.000101</v>
      </c>
      <c r="N26" s="77">
        <f>+N25*(1+(M26*(B26-B25)/365))</f>
        <v/>
      </c>
      <c r="O26" s="32">
        <f>+N26/100</f>
        <v/>
      </c>
      <c r="P26" s="77">
        <f>COUNT($B$19:B26)/12</f>
        <v/>
      </c>
      <c r="Q26" s="32">
        <f>-1+(O26^(1/P26))</f>
        <v/>
      </c>
      <c r="R26" s="78">
        <f>+(K26-Q26)/L26</f>
        <v/>
      </c>
    </row>
    <row r="27" spans="1:18">
      <c r="B27" s="71" t="n">
        <v>42063</v>
      </c>
      <c r="C27" s="72">
        <f>+C26-4824892</f>
        <v/>
      </c>
      <c r="D27" s="73" t="n">
        <v>15254730.98</v>
      </c>
      <c r="E27" s="73" t="n">
        <v>4824892</v>
      </c>
      <c r="F27" s="73" t="n">
        <v>274691.34</v>
      </c>
      <c r="G27" s="32" t="n">
        <v>-0.00877505</v>
      </c>
      <c r="H27" s="32">
        <f>+G27+1</f>
        <v/>
      </c>
      <c r="I27" s="74">
        <f>+H27*H26*H25*H24*H23*H22*H21*H20</f>
        <v/>
      </c>
      <c r="J27" s="39">
        <f>+I27-1</f>
        <v/>
      </c>
      <c r="K27" s="32">
        <f>+(1+J27)^(365/(B27-$B$19))-1</f>
        <v/>
      </c>
      <c r="L27" s="32">
        <f>STDEV($G$20:G27)*(12^0.5)</f>
        <v/>
      </c>
      <c r="M27" s="75" t="n">
        <v>0.000203</v>
      </c>
      <c r="N27" s="77">
        <f>+N26*(1+(M27*(B27-B26)/365))</f>
        <v/>
      </c>
      <c r="O27" s="32">
        <f>+N27/100</f>
        <v/>
      </c>
      <c r="P27" s="77">
        <f>COUNT($B$19:B27)/12</f>
        <v/>
      </c>
      <c r="Q27" s="32">
        <f>-1+(O27^(1/P27))</f>
        <v/>
      </c>
      <c r="R27" s="78">
        <f>+(K27-Q27)/L27</f>
        <v/>
      </c>
    </row>
    <row r="28" spans="1:18">
      <c r="B28" s="71" t="n">
        <v>42094</v>
      </c>
      <c r="C28" s="72">
        <f>+C27+1727713</f>
        <v/>
      </c>
      <c r="D28" s="73" t="n">
        <v>17103086.88</v>
      </c>
      <c r="E28" s="73" t="n">
        <v>0</v>
      </c>
      <c r="F28" s="73" t="n">
        <v>0</v>
      </c>
      <c r="G28" s="32" t="n">
        <v>0.007104007</v>
      </c>
      <c r="H28" s="32">
        <f>+G28+1</f>
        <v/>
      </c>
      <c r="I28" s="74">
        <f>+H28*H27*H26*H25*H24*H23*H22*H21*H20</f>
        <v/>
      </c>
      <c r="J28" s="39">
        <f>+I28-1</f>
        <v/>
      </c>
      <c r="K28" s="32">
        <f>+(1+J28)^(365/(B28-$B$19))-1</f>
        <v/>
      </c>
      <c r="L28" s="32">
        <f>STDEV($G$20:G28)*(12^0.5)</f>
        <v/>
      </c>
      <c r="M28" s="75" t="n">
        <v>0.000101</v>
      </c>
      <c r="N28" s="77">
        <f>+N27*(1+(M28*(B28-B27)/365))</f>
        <v/>
      </c>
      <c r="O28" s="32">
        <f>+N28/100</f>
        <v/>
      </c>
      <c r="P28" s="77">
        <f>COUNT($B$19:B28)/12</f>
        <v/>
      </c>
      <c r="Q28" s="32">
        <f>-1+(O28^(1/P28))</f>
        <v/>
      </c>
      <c r="R28" s="78">
        <f>+(K28-Q28)/L28</f>
        <v/>
      </c>
    </row>
    <row r="29" spans="1:18">
      <c r="B29" s="71" t="n">
        <v>42124</v>
      </c>
      <c r="C29" s="72">
        <f>+C28+10078322.97</f>
        <v/>
      </c>
      <c r="D29" s="73" t="n">
        <v>27824242.97</v>
      </c>
      <c r="E29" s="73" t="n">
        <v>0</v>
      </c>
      <c r="F29" s="73" t="n">
        <v>0</v>
      </c>
      <c r="G29" s="32" t="n">
        <v>0.0236497342</v>
      </c>
      <c r="H29" s="32">
        <f>+G29+1</f>
        <v/>
      </c>
      <c r="I29" s="74">
        <f>+H29*H28*H27*H26*H25*H24*H23*H22*H21*H20</f>
        <v/>
      </c>
      <c r="J29" s="39">
        <f>+I29-1</f>
        <v/>
      </c>
      <c r="K29" s="32">
        <f>+(1+J29)^(365/(B29-$B$19))-1</f>
        <v/>
      </c>
      <c r="L29" s="32">
        <f>STDEV($G$20:G29)*(12^0.5)</f>
        <v/>
      </c>
      <c r="M29" s="75" t="n">
        <v>-0.000152</v>
      </c>
      <c r="N29" s="77">
        <f>+N28*(1+(M29*(B29-B28)/365))</f>
        <v/>
      </c>
      <c r="O29" s="32">
        <f>+N29/100</f>
        <v/>
      </c>
      <c r="P29" s="77">
        <f>COUNT($B$19:B29)/12</f>
        <v/>
      </c>
      <c r="Q29" s="32">
        <f>-1+(O29^(1/P29))</f>
        <v/>
      </c>
      <c r="R29" s="78">
        <f>+(K29-Q29)/L29</f>
        <v/>
      </c>
    </row>
    <row r="30" spans="1:18">
      <c r="B30" s="71" t="n">
        <v>42155</v>
      </c>
      <c r="C30" s="72">
        <f>+C29+9057533</f>
        <v/>
      </c>
      <c r="D30" s="73" t="n">
        <v>36995954.0346</v>
      </c>
      <c r="E30" s="73" t="n">
        <v>0</v>
      </c>
      <c r="F30" s="73" t="n">
        <v>0</v>
      </c>
      <c r="G30" s="32" t="n">
        <v>0.0030957902</v>
      </c>
      <c r="H30" s="32">
        <f>+G30+1</f>
        <v/>
      </c>
      <c r="I30" s="74">
        <f>+H30*H29*H28*H27*H26*H25*H24*H23*H22*H21*H20</f>
        <v/>
      </c>
      <c r="J30" s="39">
        <f>+I30-1</f>
        <v/>
      </c>
      <c r="K30" s="32">
        <f>+(1+J30)^(365/(B30-$B$19))-1</f>
        <v/>
      </c>
      <c r="L30" s="32">
        <f>STDEV($G$20:G30)*(12^0.5)</f>
        <v/>
      </c>
      <c r="M30" s="75" t="n">
        <v>0</v>
      </c>
      <c r="N30" s="77">
        <f>+N29*(1+(M30*(B30-B29)/365))</f>
        <v/>
      </c>
      <c r="O30" s="32">
        <f>+N30/100</f>
        <v/>
      </c>
      <c r="P30" s="77">
        <f>COUNT($B$19:B30)/12</f>
        <v/>
      </c>
      <c r="Q30" s="32">
        <f>-1+(O30^(1/P30))</f>
        <v/>
      </c>
      <c r="R30" s="78">
        <f>+(K30-Q30)/L30</f>
        <v/>
      </c>
    </row>
    <row r="31" spans="1:18">
      <c r="B31" s="71" t="n">
        <v>42185</v>
      </c>
      <c r="C31" s="72">
        <f>+C30</f>
        <v/>
      </c>
      <c r="D31" s="73" t="n">
        <v>37067105.2</v>
      </c>
      <c r="E31" s="73" t="n">
        <v>0</v>
      </c>
      <c r="F31" s="73" t="n">
        <v>264915.92</v>
      </c>
      <c r="G31" s="32" t="n">
        <v>0.009149403</v>
      </c>
      <c r="H31" s="32">
        <f>+G31+1</f>
        <v/>
      </c>
      <c r="I31" s="74">
        <f>+H31*H30*H29*H28*H27*H26*H25*H24*H23*H22*H21*H20</f>
        <v/>
      </c>
      <c r="J31" s="39">
        <f>+I31-1</f>
        <v/>
      </c>
      <c r="K31" s="32">
        <f>+(1+J31)^(365/(B31-$B$19))-1</f>
        <v/>
      </c>
      <c r="L31" s="32">
        <f>STDEV($G$20:G31)*(12^0.5)</f>
        <v/>
      </c>
      <c r="M31" s="75" t="n">
        <v>-0.0001</v>
      </c>
      <c r="N31" s="77">
        <f>+N30*(1+(M31*(B31-B30)/365))</f>
        <v/>
      </c>
      <c r="O31" s="32">
        <f>+N31/100</f>
        <v/>
      </c>
      <c r="P31" s="77">
        <f>COUNT($B$19:B31)/12</f>
        <v/>
      </c>
      <c r="Q31" s="32">
        <f>-1+(O31^(1/P31))</f>
        <v/>
      </c>
      <c r="R31" s="78">
        <f>+(K31-Q31)/L31</f>
        <v/>
      </c>
    </row>
    <row r="32" spans="1:18">
      <c r="B32" s="71" t="n">
        <v>42216</v>
      </c>
      <c r="C32" s="72">
        <f>+C31</f>
        <v/>
      </c>
      <c r="D32" s="73" t="n">
        <v>37220368.4</v>
      </c>
      <c r="E32" s="73" t="n">
        <v>0</v>
      </c>
      <c r="F32" s="73" t="n">
        <v>0</v>
      </c>
      <c r="G32" s="32" t="n">
        <v>0.00413</v>
      </c>
      <c r="H32" s="32">
        <f>+G32+1</f>
        <v/>
      </c>
      <c r="I32" s="74">
        <f>+H32*H31*H30*H29*H28*H27*H26*H25*H24*H23*H22*H21*H20</f>
        <v/>
      </c>
      <c r="J32" s="39">
        <f>+I32-1</f>
        <v/>
      </c>
      <c r="K32" s="32">
        <f>+(1+J32)^(365/(B32-$B$19))-1</f>
        <v/>
      </c>
      <c r="L32" s="32">
        <f>STDEV($G$20:G32)*(12^0.5)</f>
        <v/>
      </c>
      <c r="M32" s="75" t="n">
        <v>0.0002</v>
      </c>
      <c r="N32" s="77">
        <f>+N31*(1+(M32*(B32-B31)/365))</f>
        <v/>
      </c>
      <c r="O32" s="32">
        <f>+N32/100</f>
        <v/>
      </c>
      <c r="P32" s="77">
        <f>COUNT($B$19:B32)/12</f>
        <v/>
      </c>
      <c r="Q32" s="32">
        <f>-1+(O32^(1/P32))</f>
        <v/>
      </c>
      <c r="R32" s="78">
        <f>+(K32-Q32)/L32</f>
        <v/>
      </c>
    </row>
    <row r="33" spans="1:18">
      <c r="B33" s="71" t="n">
        <v>42247</v>
      </c>
      <c r="C33" s="72">
        <f>+C32+1670122.09</f>
        <v/>
      </c>
      <c r="D33" s="73" t="n">
        <v>38972754.42</v>
      </c>
      <c r="E33" s="73" t="n">
        <v>0</v>
      </c>
      <c r="F33" s="73" t="n">
        <v>210205.02</v>
      </c>
      <c r="G33" s="32" t="n">
        <v>0.00756119</v>
      </c>
      <c r="H33" s="32">
        <f>+G33+1</f>
        <v/>
      </c>
      <c r="I33" s="74">
        <f>+H33*H32*H31*H30*H29*H28*H27*H26*H25*H24*H23*H22*H21*H20</f>
        <v/>
      </c>
      <c r="J33" s="39">
        <f>+I33-1</f>
        <v/>
      </c>
      <c r="K33" s="32">
        <f>+(1+J33)^(365/(B33-$B$19))-1</f>
        <v/>
      </c>
      <c r="L33" s="32">
        <f>STDEV($G$20:G33)*(12^0.5)</f>
        <v/>
      </c>
      <c r="M33" s="75" t="n">
        <v>0</v>
      </c>
      <c r="N33" s="77">
        <f>+N32*(1+(M33*(B33-B32)/365))</f>
        <v/>
      </c>
      <c r="O33" s="32">
        <f>+N33/100</f>
        <v/>
      </c>
      <c r="P33" s="77">
        <f>COUNT($B$19:B33)/12</f>
        <v/>
      </c>
      <c r="Q33" s="32">
        <f>-1+(O33^(1/P33))</f>
        <v/>
      </c>
      <c r="R33" s="78">
        <f>+(K33-Q33)/L33</f>
        <v/>
      </c>
    </row>
    <row r="34" spans="1:18">
      <c r="B34" s="71" t="n">
        <v>42277</v>
      </c>
      <c r="C34" s="72">
        <f>+C33</f>
        <v/>
      </c>
      <c r="D34" s="73" t="n">
        <v>39758678.66</v>
      </c>
      <c r="E34" s="73" t="n">
        <v>0</v>
      </c>
      <c r="F34" s="73" t="n">
        <v>0</v>
      </c>
      <c r="G34" s="32" t="n">
        <v>0.020165991</v>
      </c>
      <c r="H34" s="32">
        <f>+G34+1</f>
        <v/>
      </c>
      <c r="I34" s="74">
        <f>+H34*H33*H32*H31*H30*H29*H28*H27*H26*H25*H24*H23*H22*H21*H20</f>
        <v/>
      </c>
      <c r="J34" s="39">
        <f>+I34-1</f>
        <v/>
      </c>
      <c r="K34" s="32">
        <f>+(1+J34)^(365/(B34-$B$19))-1</f>
        <v/>
      </c>
      <c r="L34" s="32">
        <f>STDEV($G$20:G34)*(12^0.5)</f>
        <v/>
      </c>
      <c r="M34" s="75" t="n">
        <v>-0.0002</v>
      </c>
      <c r="N34" s="77">
        <f>+N33*(1+(M34*(B34-B33)/365))</f>
        <v/>
      </c>
      <c r="O34" s="32">
        <f>+N34/100</f>
        <v/>
      </c>
      <c r="P34" s="77">
        <f>COUNT($B$19:B34)/12</f>
        <v/>
      </c>
      <c r="Q34" s="32">
        <f>-1+(O34^(1/P34))</f>
        <v/>
      </c>
      <c r="R34" s="78">
        <f>+(K34-Q34)/L34</f>
        <v/>
      </c>
    </row>
    <row r="35" spans="1:18">
      <c r="B35" s="71" t="n">
        <v>42308</v>
      </c>
      <c r="C35" s="72">
        <f>+C34</f>
        <v/>
      </c>
      <c r="D35" s="73" t="n">
        <v>39695427.96</v>
      </c>
      <c r="E35" s="73" t="n">
        <v>0</v>
      </c>
      <c r="F35" s="73" t="n">
        <v>373185.9</v>
      </c>
      <c r="G35" s="32" t="n">
        <v>0.007869269999999999</v>
      </c>
      <c r="H35" s="32">
        <f>+G35+1</f>
        <v/>
      </c>
      <c r="I35" s="74">
        <f>+H35*H34*H33*H32*H31*H30*H29*H28*H27*H26*H25*H24*H23*H22*H21*H20</f>
        <v/>
      </c>
      <c r="J35" s="39">
        <f>+I35-1</f>
        <v/>
      </c>
      <c r="K35" s="32">
        <f>+(1+J35)^(365/(B35-$B$19))-1</f>
        <v/>
      </c>
      <c r="L35" s="32">
        <f>STDEV($G$20:G35)*(12^0.5)</f>
        <v/>
      </c>
      <c r="M35" s="75" t="n">
        <v>0</v>
      </c>
      <c r="N35" s="77">
        <f>+N34*(1+(M35*(B35-B34)/365))</f>
        <v/>
      </c>
      <c r="O35" s="32">
        <f>+N35/100</f>
        <v/>
      </c>
      <c r="P35" s="77">
        <f>COUNT($B$19:B35)/12</f>
        <v/>
      </c>
      <c r="Q35" s="32">
        <f>-1+(O35^(1/P35))</f>
        <v/>
      </c>
      <c r="R35" s="78">
        <f>+(K35-Q35)/L35</f>
        <v/>
      </c>
    </row>
    <row r="36" spans="1:18">
      <c r="B36" s="71" t="n">
        <v>42338</v>
      </c>
      <c r="C36" s="72">
        <f>+C35+2246026.26</f>
        <v/>
      </c>
      <c r="D36" s="73" t="n">
        <v>41991865.35113</v>
      </c>
      <c r="E36" s="73" t="n">
        <v>0</v>
      </c>
      <c r="F36" s="73" t="n">
        <v>0</v>
      </c>
      <c r="G36" s="32" t="n">
        <v>0.0012019405</v>
      </c>
      <c r="H36" s="32">
        <f>+G36+1</f>
        <v/>
      </c>
      <c r="I36" s="74">
        <f>+H36*H35*H34*H33*H32*H31*H30*H29*H28*H27*H26*H25*H24*H23*H22*H21*H20</f>
        <v/>
      </c>
      <c r="J36" s="39">
        <f>+I36-1</f>
        <v/>
      </c>
      <c r="K36" s="32">
        <f>+(1+J36)^(365/(B36-$B$19))-1</f>
        <v/>
      </c>
      <c r="L36" s="32">
        <f>STDEV($G$20:G36)*(12^0.5)</f>
        <v/>
      </c>
      <c r="M36" s="75" t="n">
        <v>0.000915</v>
      </c>
      <c r="N36" s="77">
        <f>+N35*(1+(M36*(B36-B35)/365))</f>
        <v/>
      </c>
      <c r="O36" s="32">
        <f>+N36/100</f>
        <v/>
      </c>
      <c r="P36" s="77">
        <f>COUNT($B$19:B36)/12</f>
        <v/>
      </c>
      <c r="Q36" s="32">
        <f>-1+(O36^(1/P36))</f>
        <v/>
      </c>
      <c r="R36" s="78">
        <f>+(K36-Q36)/L36</f>
        <v/>
      </c>
    </row>
    <row r="37" spans="1:18">
      <c r="B37" s="71" t="n">
        <v>42369</v>
      </c>
      <c r="C37" s="72">
        <f>+C36+10720456.12</f>
        <v/>
      </c>
      <c r="D37" s="73" t="n">
        <v>52706312.3</v>
      </c>
      <c r="E37" s="73" t="n">
        <v>0</v>
      </c>
      <c r="F37" s="73" t="n">
        <v>0</v>
      </c>
      <c r="G37" s="32" t="n">
        <v>-0.000114</v>
      </c>
      <c r="H37" s="32">
        <f>+G37+1</f>
        <v/>
      </c>
      <c r="I37" s="74">
        <f>+H37*H36*H35*H34*H33*H32*H31*H30*H29*H28*H27*H26*H25*H24*H23*H22*H21*H20</f>
        <v/>
      </c>
      <c r="J37" s="39">
        <f>+I37-1</f>
        <v/>
      </c>
      <c r="K37" s="32">
        <f>+(1+J37)^(365/(B37-$B$19))-1</f>
        <v/>
      </c>
      <c r="L37" s="32">
        <f>STDEV($G$20:G37)*(12^0.5)</f>
        <v/>
      </c>
      <c r="M37" s="75" t="n">
        <v>0.00122</v>
      </c>
      <c r="N37" s="77">
        <f>+N36*(1+(M37*(B37-B36)/365))</f>
        <v/>
      </c>
      <c r="O37" s="32">
        <f>+N37/100</f>
        <v/>
      </c>
      <c r="P37" s="77">
        <f>COUNT($B$19:B37)/12</f>
        <v/>
      </c>
      <c r="Q37" s="32">
        <f>-1+(O37^(1/P37))</f>
        <v/>
      </c>
      <c r="R37" s="78">
        <f>+(K37-Q37)/L37</f>
        <v/>
      </c>
    </row>
    <row r="38" spans="1:18">
      <c r="B38" s="71" t="n">
        <v>42400</v>
      </c>
      <c r="C38" s="72">
        <f>+C37</f>
        <v/>
      </c>
      <c r="D38" s="73" t="n">
        <v>52539431.29</v>
      </c>
      <c r="E38" s="73" t="n">
        <v>0</v>
      </c>
      <c r="F38" s="73" t="n">
        <v>443446.21</v>
      </c>
      <c r="G38" s="32" t="n">
        <v>0.005291811</v>
      </c>
      <c r="H38" s="32">
        <f>+G38+1</f>
        <v/>
      </c>
      <c r="I38" s="74">
        <f>+H38*H37*H36*H35*H34*H33*H32*H31*H30*H29*H28*H27*H26*H25*H24*H23*H22*H21*H20</f>
        <v/>
      </c>
      <c r="J38" s="39">
        <f>+I38-1</f>
        <v/>
      </c>
      <c r="K38" s="32">
        <f>+(1+J38)^(365/(B38-$B$19))-1</f>
        <v/>
      </c>
      <c r="L38" s="32">
        <f>STDEV($G$20:G38)*(12^0.5)</f>
        <v/>
      </c>
      <c r="M38" s="75" t="n">
        <v>0.002186</v>
      </c>
      <c r="N38" s="77">
        <f>+N37*(1+(M38*(B38-B37)/365))</f>
        <v/>
      </c>
      <c r="O38" s="32">
        <f>+N38/100</f>
        <v/>
      </c>
      <c r="P38" s="77">
        <f>COUNT($B$19:B38)/12</f>
        <v/>
      </c>
      <c r="Q38" s="32">
        <f>-1+(O38^(1/P38))</f>
        <v/>
      </c>
      <c r="R38" s="78">
        <f>+(K38-Q38)/L38</f>
        <v/>
      </c>
    </row>
    <row r="39" spans="1:18">
      <c r="B39" s="71" t="n">
        <v>42429</v>
      </c>
      <c r="C39" s="72">
        <f>+C38+1527297.86</f>
        <v/>
      </c>
      <c r="D39" s="73" t="n">
        <v>54119111.09</v>
      </c>
      <c r="E39" s="73" t="n">
        <v>0</v>
      </c>
      <c r="F39" s="73" t="n">
        <v>0</v>
      </c>
      <c r="G39" s="32" t="n">
        <v>0.0009688</v>
      </c>
      <c r="H39" s="32">
        <f>+G39+1</f>
        <v/>
      </c>
      <c r="I39" s="74">
        <f>+H39*H38*H37*H36*H35*H34*H33*H32*H31*H30*H29*H28*H27*H26*H25*H24*H23*H22*H21*H20</f>
        <v/>
      </c>
      <c r="J39" s="39">
        <f>+I39-1</f>
        <v/>
      </c>
      <c r="K39" s="32">
        <f>+(1+J39)^(365/(B39-$B$19))-1</f>
        <v/>
      </c>
      <c r="L39" s="32">
        <f>STDEV($G$20:G39)*(12^0.5)</f>
        <v/>
      </c>
      <c r="M39" s="75" t="n">
        <v>0.002186</v>
      </c>
      <c r="N39" s="77">
        <f>+N38*(1+(M39*(B39-B38)/365))</f>
        <v/>
      </c>
      <c r="O39" s="32">
        <f>+N39/100</f>
        <v/>
      </c>
      <c r="P39" s="77">
        <f>COUNT($B$19:B39)/12</f>
        <v/>
      </c>
      <c r="Q39" s="32">
        <f>-1+(O39^(1/P39))</f>
        <v/>
      </c>
      <c r="R39" s="78">
        <f>+(K39-Q39)/L39</f>
        <v/>
      </c>
    </row>
    <row r="40" spans="1:18">
      <c r="B40" s="71" t="n">
        <v>42460</v>
      </c>
      <c r="C40" s="72">
        <f>+C39</f>
        <v/>
      </c>
      <c r="D40" s="73" t="n">
        <v>54963612.42</v>
      </c>
      <c r="E40" s="73" t="n">
        <v>0</v>
      </c>
      <c r="F40" s="73" t="n">
        <v>0</v>
      </c>
      <c r="G40" s="32" t="n">
        <v>0.0156045</v>
      </c>
      <c r="H40" s="32">
        <f>+G40+1</f>
        <v/>
      </c>
      <c r="I40" s="74">
        <f>+H40*H39*H38*H37*H36*H35*H34*H33*H32*H31*H30*H29*H28*H27*H26*H25*H24*H23*H22*H21*H20</f>
        <v/>
      </c>
      <c r="J40" s="39">
        <f>+I40-1</f>
        <v/>
      </c>
      <c r="K40" s="32">
        <f>+(1+J40)^(365/(B40-$B$19))-1</f>
        <v/>
      </c>
      <c r="L40" s="32">
        <f>STDEV($G$20:G40)*(12^0.5)</f>
        <v/>
      </c>
      <c r="M40" s="75" t="n">
        <v>0.001678</v>
      </c>
      <c r="N40" s="77">
        <f>+N39*(1+(M40*(B40-B39)/365))</f>
        <v/>
      </c>
      <c r="O40" s="32">
        <f>+N40/100</f>
        <v/>
      </c>
      <c r="P40" s="77">
        <f>COUNT($B$19:B40)/12</f>
        <v/>
      </c>
      <c r="Q40" s="32">
        <f>-1+(O40^(1/P40))</f>
        <v/>
      </c>
      <c r="R40" s="78">
        <f>+(K40-Q40)/L40</f>
        <v/>
      </c>
    </row>
    <row r="41" spans="1:18">
      <c r="B41" s="71" t="n">
        <v>42490</v>
      </c>
      <c r="C41" s="72">
        <f>+C40</f>
        <v/>
      </c>
      <c r="D41" s="73" t="n">
        <v>53519368.82</v>
      </c>
      <c r="E41" s="73" t="n">
        <v>0</v>
      </c>
      <c r="F41" s="73" t="n">
        <v>2076134.53</v>
      </c>
      <c r="G41" s="32" t="n">
        <v>0.01194784</v>
      </c>
      <c r="H41" s="32">
        <f>+G41+1</f>
        <v/>
      </c>
      <c r="I41" s="74">
        <f>+H41*H40*H39*H38*H37*H36*H35*H34*H33*H32*H31*H30*H29*H28*H27*H26*H25*H24*H23*H22*H21*H20</f>
        <v/>
      </c>
      <c r="J41" s="39">
        <f>+I41-1</f>
        <v/>
      </c>
      <c r="K41" s="32">
        <f>+(1+J41)^(365/(B41-$B$19))-1</f>
        <v/>
      </c>
      <c r="L41" s="32">
        <f>STDEV($G$20:G41)*(12^0.5)</f>
        <v/>
      </c>
      <c r="M41" s="75" t="n">
        <v>0.001525</v>
      </c>
      <c r="N41" s="77">
        <f>+N40*(1+(M41*(B41-B40)/365))</f>
        <v/>
      </c>
      <c r="O41" s="32">
        <f>+N41/100</f>
        <v/>
      </c>
      <c r="P41" s="77">
        <f>COUNT($B$19:B41)/12</f>
        <v/>
      </c>
      <c r="Q41" s="32">
        <f>-1+(O41^(1/P41))</f>
        <v/>
      </c>
      <c r="R41" s="78">
        <f>+(K41-Q41)/L41</f>
        <v/>
      </c>
    </row>
    <row r="42" spans="1:18">
      <c r="B42" s="71" t="n">
        <v>42521</v>
      </c>
      <c r="C42" s="72">
        <f>+C41</f>
        <v/>
      </c>
      <c r="D42" s="73" t="n">
        <v>55519323.82</v>
      </c>
      <c r="E42" s="73" t="n">
        <v>0</v>
      </c>
      <c r="F42" s="73" t="n">
        <v>0</v>
      </c>
      <c r="G42" s="32" t="n">
        <v>0.03736881</v>
      </c>
      <c r="H42" s="32">
        <f>+G42+1</f>
        <v/>
      </c>
      <c r="I42" s="74">
        <f>+H42*H41*H40*H39*H38*H37*H36*H35*H34*H33*H32*H31*H30*H29*H28*H27*H26*H25*H24*H23*H22*H21*H20</f>
        <v/>
      </c>
      <c r="J42" s="39">
        <f>+I42-1</f>
        <v/>
      </c>
      <c r="K42" s="32">
        <f>+(1+J42)^(365/(B42-$B$19))-1</f>
        <v/>
      </c>
      <c r="L42" s="32">
        <f>STDEV($G$20:G42)*(12^0.5)</f>
        <v/>
      </c>
      <c r="M42" s="75" t="n">
        <v>0.00178</v>
      </c>
      <c r="N42" s="77">
        <f>+N41*(1+(M42*(B42-B41)/365))</f>
        <v/>
      </c>
      <c r="O42" s="32">
        <f>+N42/100</f>
        <v/>
      </c>
      <c r="P42" s="77">
        <f>COUNT($B$19:B42)/12</f>
        <v/>
      </c>
      <c r="Q42" s="32">
        <f>-1+(O42^(1/P42))</f>
        <v/>
      </c>
      <c r="R42" s="78">
        <f>+(K42-Q42)/L42</f>
        <v/>
      </c>
    </row>
    <row r="43" spans="1:18">
      <c r="B43" s="71" t="n">
        <v>42551</v>
      </c>
      <c r="C43" s="72">
        <f>+C42</f>
        <v/>
      </c>
      <c r="D43" s="73" t="n">
        <v>55750827.6</v>
      </c>
      <c r="E43" s="73" t="n">
        <v>0</v>
      </c>
      <c r="F43" s="73" t="n">
        <v>0</v>
      </c>
      <c r="G43" s="32" t="n">
        <v>0.0041698</v>
      </c>
      <c r="H43" s="32">
        <f>+G43+1</f>
        <v/>
      </c>
      <c r="I43" s="74">
        <f>+H43*H42*H41*H40*H39*H38*H37*H36*H35*H34*H33*H32*H31*H30*H29*H28*H27*H26*H25*H24*H23*H22*H21*H20</f>
        <v/>
      </c>
      <c r="J43" s="39">
        <f>+I43-1</f>
        <v/>
      </c>
      <c r="K43" s="32">
        <f>+(1+J43)^(365/(B43-$B$19))-1</f>
        <v/>
      </c>
      <c r="L43" s="32">
        <f>STDEV($G$20:G43)*(12^0.5)</f>
        <v/>
      </c>
      <c r="M43" s="75" t="n">
        <v>0.00168</v>
      </c>
      <c r="N43" s="77">
        <f>+N42*(1+(M43*(B43-B42)/365))</f>
        <v/>
      </c>
      <c r="O43" s="32">
        <f>+N43/100</f>
        <v/>
      </c>
      <c r="P43" s="77">
        <f>COUNT($B$19:B43)/12</f>
        <v/>
      </c>
      <c r="Q43" s="32">
        <f>-1+(O43^(1/P43))</f>
        <v/>
      </c>
      <c r="R43" s="78">
        <f>+(K43-Q43)/L43</f>
        <v/>
      </c>
    </row>
    <row r="44" spans="1:18">
      <c r="B44" s="71" t="n">
        <v>42582</v>
      </c>
      <c r="C44" s="72">
        <f>+C43</f>
        <v/>
      </c>
      <c r="D44" s="73" t="n">
        <v>54340857.87</v>
      </c>
      <c r="E44" s="73" t="n">
        <v>0</v>
      </c>
      <c r="F44" s="73" t="n">
        <v>1861322.27</v>
      </c>
      <c r="G44" s="32" t="n">
        <v>0.008375499999999999</v>
      </c>
      <c r="H44" s="32">
        <f>+G44+1</f>
        <v/>
      </c>
      <c r="I44" s="74">
        <f>+H44*H43*H42*H41*H40*H39*H38*H37*H36*H35*H34*H33*H32*H31*H30*H29*H28*H27*H26*H25*H24*H23*H22*H21*H20</f>
        <v/>
      </c>
      <c r="J44" s="39">
        <f>+I44-1</f>
        <v/>
      </c>
      <c r="K44" s="32">
        <f>+(1+J44)^(365/(B44-$B$19))-1</f>
        <v/>
      </c>
      <c r="L44" s="32">
        <f>STDEV($G$20:G44)*(12^0.5)</f>
        <v/>
      </c>
      <c r="M44" s="75" t="n">
        <v>0.00178</v>
      </c>
      <c r="N44" s="77">
        <f>+N43*(1+(M44*(B44-B43)/365))</f>
        <v/>
      </c>
      <c r="O44" s="32">
        <f>+N44/100</f>
        <v/>
      </c>
      <c r="P44" s="77">
        <f>COUNT($B$19:B44)/12</f>
        <v/>
      </c>
      <c r="Q44" s="32">
        <f>-1+(O44^(1/P44))</f>
        <v/>
      </c>
      <c r="R44" s="78">
        <f>+(K44-Q44)/L44</f>
        <v/>
      </c>
    </row>
    <row r="45" spans="1:18">
      <c r="B45" s="71" t="n">
        <v>42613</v>
      </c>
      <c r="C45" s="72">
        <f>+C44</f>
        <v/>
      </c>
      <c r="D45" s="73" t="n">
        <v>54372247.45</v>
      </c>
      <c r="E45" s="73" t="n">
        <v>0</v>
      </c>
      <c r="F45" s="73" t="n">
        <v>241879.75</v>
      </c>
      <c r="G45" s="32" t="n">
        <v>0.0050513</v>
      </c>
      <c r="H45" s="32">
        <f>+G45+1</f>
        <v/>
      </c>
      <c r="I45" s="74">
        <f>+H45*H44*H43*H42*H41*H40*H39*H38*H37*H36*H35*H34*H33*H32*H31*H30*H29*H28*H27*H26*H25*H24*H23*H22*H21*H20</f>
        <v/>
      </c>
      <c r="J45" s="39">
        <f>+I45-1</f>
        <v/>
      </c>
      <c r="K45" s="32">
        <f>+(1+J45)^(365/(B45-$B$19))-1</f>
        <v/>
      </c>
      <c r="L45" s="32">
        <f>STDEV($G$20:G45)*(12^0.5)</f>
        <v/>
      </c>
      <c r="M45" s="75" t="n">
        <v>0.002687</v>
      </c>
      <c r="N45" s="77">
        <f>+N44*(1+(M45*(B45-B44)/365))</f>
        <v/>
      </c>
      <c r="O45" s="32">
        <f>+N45/100</f>
        <v/>
      </c>
      <c r="P45" s="77">
        <f>COUNT($B$19:B45)/12</f>
        <v/>
      </c>
      <c r="Q45" s="32">
        <f>-1+(O45^(1/P45))</f>
        <v/>
      </c>
      <c r="R45" s="78">
        <f>+(K45-Q45)/L45</f>
        <v/>
      </c>
    </row>
    <row r="46" spans="1:18">
      <c r="B46" s="71" t="n">
        <v>42643</v>
      </c>
      <c r="C46" s="72">
        <f>+C45</f>
        <v/>
      </c>
      <c r="D46" s="73" t="n">
        <v>54642204.97</v>
      </c>
      <c r="E46" s="73" t="n">
        <v>0</v>
      </c>
      <c r="F46" s="73" t="n">
        <v>0</v>
      </c>
      <c r="G46" s="32" t="n">
        <v>0.004965</v>
      </c>
      <c r="H46" s="32">
        <f>+G46+1</f>
        <v/>
      </c>
      <c r="I46" s="74">
        <f>+H46*H45*H44*H43*H42*H41*H40*H39*H38*H37*H36*H35*H34*H33*H32*H31*H30*H29*H28*H27*H26*H25*H24*H23*H22*H21*H20</f>
        <v/>
      </c>
      <c r="J46" s="39">
        <f>+I46-1</f>
        <v/>
      </c>
      <c r="K46" s="32">
        <f>+(1+J46)^(365/(B46-$B$19))-1</f>
        <v/>
      </c>
      <c r="L46" s="32">
        <f>STDEV($G$20:G46)*(12^0.5)</f>
        <v/>
      </c>
      <c r="M46" s="75" t="n">
        <v>0.001825</v>
      </c>
      <c r="N46" s="77">
        <f>+N45*(1+(M46*(B46-B45)/365))</f>
        <v/>
      </c>
      <c r="O46" s="32">
        <f>+N46/100</f>
        <v/>
      </c>
      <c r="P46" s="77">
        <f>COUNT($B$19:B46)/12</f>
        <v/>
      </c>
      <c r="Q46" s="32">
        <f>-1+(O46^(1/P46))</f>
        <v/>
      </c>
      <c r="R46" s="78">
        <f>+(K46-Q46)/L46</f>
        <v/>
      </c>
    </row>
    <row r="47" spans="1:18">
      <c r="B47" s="71" t="n">
        <v>42674</v>
      </c>
      <c r="C47" s="72">
        <f>+C46</f>
        <v/>
      </c>
      <c r="D47" s="73" t="n">
        <v>54218300.54</v>
      </c>
      <c r="E47" s="73" t="n">
        <v>0</v>
      </c>
      <c r="F47" s="73" t="n">
        <v>863856.25</v>
      </c>
      <c r="G47" s="32" t="n">
        <v>0.0081808</v>
      </c>
      <c r="H47" s="32">
        <f>+G47+1</f>
        <v/>
      </c>
      <c r="I47" s="74">
        <f>+H47*H46*H45*H44*H43*H42*H41*H40*H39*H38*H37*H36*H35*H34*H33*H32*H31*H30*H29*H28*H27*H26*H25*H24*H23*H22*H21*H20</f>
        <v/>
      </c>
      <c r="J47" s="39">
        <f>+I47-1</f>
        <v/>
      </c>
      <c r="K47" s="32">
        <f>+(1+J47)^(365/(B47-$B$19))-1</f>
        <v/>
      </c>
      <c r="L47" s="32">
        <f>STDEV($G$20:G47)*(12^0.5)</f>
        <v/>
      </c>
      <c r="M47" s="75" t="n">
        <v>0.001622</v>
      </c>
      <c r="N47" s="77">
        <f>+N46*(1+(M47*(B47-B46)/365))</f>
        <v/>
      </c>
      <c r="O47" s="32">
        <f>+N47/100</f>
        <v/>
      </c>
      <c r="P47" s="77">
        <f>COUNT($B$19:B47)/12</f>
        <v/>
      </c>
      <c r="Q47" s="32">
        <f>-1+(O47^(1/P47))</f>
        <v/>
      </c>
      <c r="R47" s="78">
        <f>+(K47-Q47)/L47</f>
        <v/>
      </c>
    </row>
    <row r="48" spans="1:18">
      <c r="B48" s="71" t="n">
        <v>42704</v>
      </c>
      <c r="C48" s="72">
        <f>+C47</f>
        <v/>
      </c>
      <c r="D48" s="73" t="n">
        <v>53966105.31</v>
      </c>
      <c r="E48" s="73" t="n">
        <v>0</v>
      </c>
      <c r="F48" s="73" t="n">
        <v>380096.75</v>
      </c>
      <c r="G48" s="32" t="n">
        <v>0.002376</v>
      </c>
      <c r="H48" s="32">
        <f>+G48+1</f>
        <v/>
      </c>
      <c r="I48" s="74">
        <f>+H48*H47*H46*H45*H44*H43*H42*H41*H40*H39*H38*H37*H36*H35*H34*H33*H32*H31*H30*H29*H28*H27*H26*H25*H24*H23*H22*H21*H20</f>
        <v/>
      </c>
      <c r="J48" s="39">
        <f>+I48-1</f>
        <v/>
      </c>
      <c r="K48" s="32">
        <f>+(1+J48)^(365/(B48-$B$19))-1</f>
        <v/>
      </c>
      <c r="L48" s="32">
        <f>STDEV($G$20:G48)*(12^0.5)</f>
        <v/>
      </c>
      <c r="M48" s="75" t="n">
        <v>0.0036</v>
      </c>
      <c r="N48" s="77">
        <f>+N47*(1+(M48*(B48-B47)/365))</f>
        <v/>
      </c>
      <c r="O48" s="32">
        <f>+N48/100</f>
        <v/>
      </c>
      <c r="P48" s="77">
        <f>COUNT($B$19:B48)/12</f>
        <v/>
      </c>
      <c r="Q48" s="32">
        <f>-1+(O48^(1/P48))</f>
        <v/>
      </c>
      <c r="R48" s="78">
        <f>+(K48-Q48)/L48</f>
        <v/>
      </c>
    </row>
    <row r="49" spans="1:18">
      <c r="B49" s="71" t="n">
        <v>42735</v>
      </c>
      <c r="C49" s="72">
        <f>+C48+3970859.25</f>
        <v/>
      </c>
      <c r="D49" s="73" t="n">
        <v>58172470.05</v>
      </c>
      <c r="E49" s="73" t="n">
        <v>0</v>
      </c>
      <c r="F49" s="73" t="n">
        <v>115180.83</v>
      </c>
      <c r="G49" s="32" t="n">
        <v>0.006065</v>
      </c>
      <c r="H49" s="32">
        <f>+G49+1</f>
        <v/>
      </c>
      <c r="I49" s="74">
        <f>+H49*H48*H47*H46*H45*H44*H43*H42*H41*H40*H39*H38*H37*H36*H35*H34*H33*H32*H31*H30*H29*H28*H27*H26*H25*H24*H23*H22*H21*H20</f>
        <v/>
      </c>
      <c r="J49" s="39">
        <f>+I49-1</f>
        <v/>
      </c>
      <c r="K49" s="32">
        <f>+(1+J49)^(365/(B49-$B$19))-1</f>
        <v/>
      </c>
      <c r="L49" s="32">
        <f>STDEV($G$20:G49)*(12^0.5)</f>
        <v/>
      </c>
      <c r="M49" s="75" t="n">
        <v>0.004158</v>
      </c>
      <c r="N49" s="77">
        <f>+N48*(1+(M49*(B49-B48)/365))</f>
        <v/>
      </c>
      <c r="O49" s="32">
        <f>+N49/100</f>
        <v/>
      </c>
      <c r="P49" s="77">
        <f>COUNT($B$19:B49)/12</f>
        <v/>
      </c>
      <c r="Q49" s="32">
        <f>-1+(O49^(1/P49))</f>
        <v/>
      </c>
      <c r="R49" s="78">
        <f>+(K49-Q49)/L49</f>
        <v/>
      </c>
    </row>
    <row r="50" spans="1:18">
      <c r="B50" s="71" t="n">
        <v>42766</v>
      </c>
      <c r="C50" s="72">
        <f>+C49</f>
        <v/>
      </c>
      <c r="D50" s="73" t="n">
        <v>58748606.75</v>
      </c>
      <c r="E50" s="73" t="n">
        <v>0</v>
      </c>
      <c r="F50" s="73" t="n">
        <v>0</v>
      </c>
      <c r="G50" s="32" t="n">
        <v>0.0099039</v>
      </c>
      <c r="H50" s="32">
        <f>+G50+1</f>
        <v/>
      </c>
      <c r="I50" s="74">
        <f>+H50*H49*H48*H47*H46*H45*H44*H43*H42*H41*H40*H39*H38*H37*H36*H35*H34*H33*H32*H31*H30*H29*H28*H27*H26*H25*H24*H23*H22*H21*H20</f>
        <v/>
      </c>
      <c r="J50" s="39">
        <f>+I50-1</f>
        <v/>
      </c>
      <c r="K50" s="32">
        <f>+(1+J50)^(365/(B50-$B$19))-1</f>
        <v/>
      </c>
      <c r="L50" s="32">
        <f>STDEV($G$20:G50)*(12^0.5)</f>
        <v/>
      </c>
      <c r="M50" s="75" t="n">
        <v>0.00461</v>
      </c>
      <c r="N50" s="77">
        <f>+N49*(1+(M50*(B50-B49)/365))</f>
        <v/>
      </c>
      <c r="O50" s="32">
        <f>+N50/100</f>
        <v/>
      </c>
      <c r="P50" s="77">
        <f>COUNT($B$19:B50)/12</f>
        <v/>
      </c>
      <c r="Q50" s="32">
        <f>-1+(O50^(1/P50))</f>
        <v/>
      </c>
      <c r="R50" s="78">
        <f>+(K50-Q50)/L50</f>
        <v/>
      </c>
    </row>
    <row r="51" spans="1:18">
      <c r="B51" s="71" t="n">
        <v>42794</v>
      </c>
      <c r="C51" s="72">
        <f>+C50+5759042</f>
        <v/>
      </c>
      <c r="D51" s="73" t="n">
        <v>64184228.61</v>
      </c>
      <c r="E51" s="73" t="n">
        <v>0</v>
      </c>
      <c r="F51" s="73" t="n">
        <v>633494.59</v>
      </c>
      <c r="G51" s="32" t="n">
        <v>0.0048545</v>
      </c>
      <c r="H51" s="32">
        <f>+G51+1</f>
        <v/>
      </c>
      <c r="I51" s="74">
        <f>+H51*H50*H49*H48*H47*H46*H45*H44*H43*H42*H41*H40*H39*H38*H37*H36*H35*H34*H33*H32*H31*H30*H29*H28*H27*H26*H25*H24*H23*H22*H21*H20</f>
        <v/>
      </c>
      <c r="J51" s="39">
        <f>+I51-1</f>
        <v/>
      </c>
      <c r="K51" s="32">
        <f>+(1+J51)^(365/(B51-$B$19))-1</f>
        <v/>
      </c>
      <c r="L51" s="32">
        <f>STDEV($G$20:G51)*(12^0.5)</f>
        <v/>
      </c>
      <c r="M51" s="75" t="n">
        <v>0.00426</v>
      </c>
      <c r="N51" s="77">
        <f>+N50*(1+(M51*(B51-B50)/365))</f>
        <v/>
      </c>
      <c r="O51" s="32">
        <f>+N51/100</f>
        <v/>
      </c>
      <c r="P51" s="77">
        <f>COUNT($B$19:B51)/12</f>
        <v/>
      </c>
      <c r="Q51" s="32">
        <f>-1+(O51^(1/P51))</f>
        <v/>
      </c>
      <c r="R51" s="78">
        <f>+(K51-Q51)/L51</f>
        <v/>
      </c>
    </row>
    <row r="52" spans="1:18">
      <c r="B52" s="71" t="n">
        <v>42825</v>
      </c>
      <c r="C52" s="72">
        <f>+C51</f>
        <v/>
      </c>
      <c r="D52" s="73" t="n">
        <v>64104128.82</v>
      </c>
      <c r="E52" s="73" t="n">
        <v>0</v>
      </c>
      <c r="F52" s="73" t="n">
        <v>345542.5</v>
      </c>
      <c r="G52" s="32" t="n">
        <v>0.00415801</v>
      </c>
      <c r="H52" s="32">
        <f>+G52+1</f>
        <v/>
      </c>
      <c r="I52" s="74">
        <f>+H52*H51*H50*H49*H48*H47*H46*H45*H44*H43*H42*H41*H40*H39*H38*H37*H36*H35*H34*H33*H32*H31*H30*H29*H28*H27*H26*H25*H24*H23*H22*H21*H20</f>
        <v/>
      </c>
      <c r="J52" s="39">
        <f>+I52-1</f>
        <v/>
      </c>
      <c r="K52" s="32">
        <f>+(1+J52)^(365/(B52-$B$19))-1</f>
        <v/>
      </c>
      <c r="L52" s="32">
        <f>STDEV($G$20:G52)*(12^0.5)</f>
        <v/>
      </c>
      <c r="M52" s="75" t="n">
        <v>0.007253</v>
      </c>
      <c r="N52" s="77">
        <f>+N51*(1+(M52*(B52-B51)/365))</f>
        <v/>
      </c>
      <c r="O52" s="32">
        <f>+N52/100</f>
        <v/>
      </c>
      <c r="P52" s="77">
        <f>COUNT($B$19:B52)/12</f>
        <v/>
      </c>
      <c r="Q52" s="32">
        <f>-1+(O52^(1/P52))</f>
        <v/>
      </c>
      <c r="R52" s="78">
        <f>+(K52-Q52)/L52</f>
        <v/>
      </c>
    </row>
    <row r="53" spans="1:18">
      <c r="B53" s="71" t="n">
        <v>42855</v>
      </c>
      <c r="C53" s="72">
        <f>+C52+1151808</f>
        <v/>
      </c>
      <c r="D53" s="73" t="n">
        <v>64966811.77</v>
      </c>
      <c r="E53" s="73" t="n">
        <v>0</v>
      </c>
      <c r="F53" s="73" t="n">
        <v>691085</v>
      </c>
      <c r="G53" s="32" t="n">
        <v>0.00622568</v>
      </c>
      <c r="H53" s="32">
        <f>+G53+1</f>
        <v/>
      </c>
      <c r="I53" s="74">
        <f>+H53*H52*H51*H50*H49*H48*H47*H46*H45*H44*H43*H42*H41*H40*H39*H38*H37*H36*H35*H34*H33*H32*H31*H30*H29*H28*H27*H26*H25*H24*H23*H22*H21*H20</f>
        <v/>
      </c>
      <c r="J53" s="39">
        <f>+I53-1</f>
        <v/>
      </c>
      <c r="K53" s="32">
        <f>+(1+J53)^(365/(B53-$B$19))-1</f>
        <v/>
      </c>
      <c r="L53" s="32">
        <f>STDEV($G$20:G53)*(12^0.5)</f>
        <v/>
      </c>
      <c r="M53" s="75" t="n">
        <v>0.006593</v>
      </c>
      <c r="N53" s="77">
        <f>+N52*(1+(M53*(B53-B52)/365))</f>
        <v/>
      </c>
      <c r="O53" s="32">
        <f>+N53/100</f>
        <v/>
      </c>
      <c r="P53" s="77">
        <f>COUNT($B$19:B53)/12</f>
        <v/>
      </c>
      <c r="Q53" s="32">
        <f>-1+(O53^(1/P53))</f>
        <v/>
      </c>
      <c r="R53" s="78">
        <f>+(K53-Q53)/L53</f>
        <v/>
      </c>
    </row>
    <row r="54" spans="1:18">
      <c r="B54" s="71" t="n">
        <v>42886</v>
      </c>
      <c r="C54" s="72">
        <f>+C53</f>
        <v/>
      </c>
      <c r="D54" s="73" t="n">
        <v>65069454.65</v>
      </c>
      <c r="E54" s="73" t="n">
        <v>0</v>
      </c>
      <c r="F54" s="73" t="n">
        <v>460723.34</v>
      </c>
      <c r="G54" s="32" t="n">
        <v>0.008522191</v>
      </c>
      <c r="H54" s="32">
        <f>+G54+1</f>
        <v/>
      </c>
      <c r="I54" s="74">
        <f>+H54*H53*H52*H51*H50*H49*H48*H47*H46*H45*H44*H43*H42*H41*H40*H39*H38*H37*H36*H35*H34*H33*H32*H31*H30*H29*H28*H27*H26*H25*H24*H23*H22*H21*H20</f>
        <v/>
      </c>
      <c r="J54" s="39">
        <f>+I54-1</f>
        <v/>
      </c>
      <c r="K54" s="32">
        <f>+(1+J54)^(365/(B54-$B$19))-1</f>
        <v/>
      </c>
      <c r="L54" s="32">
        <f>STDEV($G$20:G54)*(12^0.5)</f>
        <v/>
      </c>
      <c r="M54" s="79" t="n">
        <v>0.008573000000000001</v>
      </c>
      <c r="N54" s="77">
        <f>+N53*(1+(M54*(B54-B53)/365))</f>
        <v/>
      </c>
      <c r="O54" s="32">
        <f>+N54/100</f>
        <v/>
      </c>
      <c r="P54" s="77">
        <f>COUNT($B$19:B54)/12</f>
        <v/>
      </c>
      <c r="Q54" s="32">
        <f>-1+(O54^(1/P54))</f>
        <v/>
      </c>
      <c r="R54" s="78">
        <f>+(K54-Q54)/L54</f>
        <v/>
      </c>
    </row>
    <row customHeight="1" ht="15" r="55" s="62" spans="1:18">
      <c r="B55" s="71" t="s">
        <v>24</v>
      </c>
      <c r="C55" s="72" t="n">
        <v>63869788.55</v>
      </c>
      <c r="D55" s="73" t="n">
        <v>64966811.78677832</v>
      </c>
      <c r="E55" s="73" t="n"/>
      <c r="F55" s="73" t="n">
        <v>691085</v>
      </c>
      <c r="G55" s="32" t="n">
        <v>0.006225677187696954</v>
      </c>
      <c r="H55" s="32">
        <f>+G55+1</f>
        <v/>
      </c>
      <c r="I55" s="74">
        <f>+H55*H54*H53*H52*H51*H50*H49*H48*H47*H46*H45*H44*H43*H42*H41*H40*H39*H38*H37*H36*H35*H34*H33*H32*H31*H30*H29*H28*H27*H26*H25*H24*H23*H22*H21</f>
        <v/>
      </c>
      <c r="J55" s="39">
        <f>+I55-1</f>
        <v/>
      </c>
      <c r="K55" s="32">
        <f>+(1+J55)^(365/(B55-$B$19))-1</f>
        <v/>
      </c>
      <c r="L55" s="32">
        <f>STDEV($G$20:G55)*(12^0.5)</f>
        <v/>
      </c>
      <c r="M55" s="79" t="s">
        <v>25</v>
      </c>
      <c r="N55" s="77">
        <f>+N54*(1+(M55*(B55-B54)/365))</f>
        <v/>
      </c>
      <c r="O55" s="32">
        <f>+N55/100</f>
        <v/>
      </c>
      <c r="P55" s="77">
        <f>COUNT($B$19:B55)/12</f>
        <v/>
      </c>
      <c r="Q55" s="32">
        <f>-1+(O55^(1/P55))</f>
        <v/>
      </c>
      <c r="R55" s="78">
        <f>+(K55-Q55)/L55</f>
        <v/>
      </c>
    </row>
    <row r="56" spans="1:18">
      <c r="B56" s="80" t="s">
        <v>26</v>
      </c>
      <c r="C56" s="81">
        <f>+C54</f>
        <v/>
      </c>
      <c r="D56" s="82">
        <f>+D54</f>
        <v/>
      </c>
      <c r="E56" s="82">
        <f>+SUM(E20:E54)</f>
        <v/>
      </c>
      <c r="F56" s="82">
        <f>+SUM(F20:F54)</f>
        <v/>
      </c>
      <c r="G56" s="38">
        <f>+G54</f>
        <v/>
      </c>
      <c r="H56" s="38" t="n"/>
      <c r="I56" s="38" t="n"/>
      <c r="J56" s="40">
        <f>+J54</f>
        <v/>
      </c>
      <c r="K56" s="38">
        <f>+K54</f>
        <v/>
      </c>
      <c r="L56" s="38">
        <f>+L54</f>
        <v/>
      </c>
      <c r="M56" s="38" t="n"/>
      <c r="N56" s="38" t="n"/>
      <c r="O56" s="38" t="n"/>
      <c r="P56" s="38" t="n"/>
      <c r="Q56" s="38" t="n"/>
      <c r="R56" s="83">
        <f>R54</f>
        <v/>
      </c>
    </row>
    <row r="57" spans="1:18">
      <c r="B57" s="84" t="n"/>
      <c r="C57" s="85" t="n"/>
      <c r="D57" s="85" t="n"/>
      <c r="E57" s="8" t="n"/>
      <c r="F57" s="8" t="n"/>
      <c r="G57" s="8" t="n"/>
      <c r="H57" s="8" t="n"/>
      <c r="I57" s="8" t="n"/>
      <c r="J57" s="8" t="n"/>
      <c r="K57" s="4" t="n"/>
      <c r="L57" s="4" t="n"/>
      <c r="M57" s="4" t="n"/>
      <c r="N57" s="4" t="n"/>
      <c r="O57" s="4" t="n"/>
      <c r="P57" s="4" t="n"/>
      <c r="Q57" s="4" t="n"/>
      <c r="R57" s="4" t="n"/>
    </row>
    <row customFormat="1" r="58" s="48" spans="1:18"/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2017-07-17T06:44:55Z</dcterms:modified>
  <cp:lastModifiedBy>Mohammad Yazdani</cp:lastModifiedBy>
  <cp:lastPrinted>2012-11-16T21:36:21Z</cp:lastPrinted>
</cp:coreProperties>
</file>