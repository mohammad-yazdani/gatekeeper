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C50" i="11" l="1"/>
  <c r="D50" i="11"/>
  <c r="H48" i="11"/>
  <c r="E50" i="11"/>
  <c r="I48" i="11"/>
  <c r="J48" i="11" s="1"/>
  <c r="G48" i="11"/>
  <c r="F50" i="11"/>
  <c r="C48" i="11"/>
  <c r="O48" i="11"/>
  <c r="M48" i="11"/>
  <c r="N48" i="11" s="1"/>
  <c r="P48" i="11" s="1"/>
  <c r="K48" i="11"/>
  <c r="K50" i="11" s="1"/>
  <c r="Q48" i="11" l="1"/>
  <c r="Q50" i="11" s="1"/>
  <c r="J50" i="11"/>
  <c r="I50" i="11"/>
  <c r="G47" i="11"/>
  <c r="H47" i="11" s="1"/>
  <c r="I47" i="11" s="1"/>
  <c r="C47" i="11"/>
  <c r="O47" i="11"/>
  <c r="M47" i="11"/>
  <c r="N47" i="11" s="1"/>
  <c r="P47" i="11" s="1"/>
  <c r="K47" i="11"/>
  <c r="J47" i="11" l="1"/>
  <c r="G46" i="11"/>
  <c r="C46" i="11"/>
  <c r="O46" i="11"/>
  <c r="K46" i="11"/>
  <c r="Q47" i="11" l="1"/>
  <c r="C45" i="11"/>
  <c r="G45" i="11" l="1"/>
  <c r="O45" i="11"/>
  <c r="K45" i="11"/>
  <c r="H45" i="11" l="1"/>
  <c r="I45" i="11" s="1"/>
  <c r="H46" i="11"/>
  <c r="I46" i="11" s="1"/>
  <c r="J45" i="11"/>
  <c r="E14" i="11"/>
  <c r="H44" i="11"/>
  <c r="G44" i="11"/>
  <c r="C44" i="11"/>
  <c r="I44" i="11"/>
  <c r="O44" i="11"/>
  <c r="K44" i="11"/>
  <c r="J46" i="11" l="1"/>
  <c r="J44" i="11"/>
  <c r="F13" i="11" l="1"/>
  <c r="G43" i="11"/>
  <c r="H43" i="11" s="1"/>
  <c r="I43" i="11" s="1"/>
  <c r="C43" i="11"/>
  <c r="O43" i="11"/>
  <c r="M43" i="11"/>
  <c r="K43" i="11"/>
  <c r="N43" i="11" l="1"/>
  <c r="P43" i="11" s="1"/>
  <c r="Q43" i="11" s="1"/>
  <c r="M44" i="11"/>
  <c r="J43" i="11"/>
  <c r="H42" i="11"/>
  <c r="N44" i="11" l="1"/>
  <c r="P44" i="11" s="1"/>
  <c r="Q44" i="11" s="1"/>
  <c r="M45" i="11"/>
  <c r="G42" i="11"/>
  <c r="I42" i="11" s="1"/>
  <c r="O42" i="11"/>
  <c r="M42" i="11"/>
  <c r="N42" i="11" s="1"/>
  <c r="K42" i="11"/>
  <c r="C42" i="11"/>
  <c r="N45" i="11" l="1"/>
  <c r="P45" i="11" s="1"/>
  <c r="Q45" i="11" s="1"/>
  <c r="M46" i="11"/>
  <c r="N46" i="11" s="1"/>
  <c r="P46" i="11" s="1"/>
  <c r="Q46" i="11" s="1"/>
  <c r="J42" i="11"/>
  <c r="P42" i="11"/>
  <c r="H41" i="11"/>
  <c r="Q42" i="11" l="1"/>
  <c r="G41" i="11"/>
  <c r="I41" i="11" s="1"/>
  <c r="O41" i="11"/>
  <c r="M41" i="11"/>
  <c r="N41" i="11" s="1"/>
  <c r="P41" i="11" s="1"/>
  <c r="K41" i="11"/>
  <c r="C41" i="11"/>
  <c r="J41" i="11" l="1"/>
  <c r="Q41" i="11"/>
  <c r="G40" i="11"/>
  <c r="H40" i="11" s="1"/>
  <c r="I40" i="11" s="1"/>
  <c r="O40" i="11"/>
  <c r="M40" i="11"/>
  <c r="N40" i="11" s="1"/>
  <c r="K40" i="11"/>
  <c r="C40" i="11"/>
  <c r="J40" i="11" l="1"/>
  <c r="P40" i="11"/>
  <c r="Q40" i="11" s="1"/>
  <c r="G39" i="11"/>
  <c r="H39" i="11"/>
  <c r="I39" i="11" s="1"/>
  <c r="O39" i="11"/>
  <c r="M39" i="11"/>
  <c r="N39" i="11" s="1"/>
  <c r="P39" i="11" s="1"/>
  <c r="K39" i="11"/>
  <c r="C39" i="11"/>
  <c r="J39" i="11" l="1"/>
  <c r="K38" i="11"/>
  <c r="H38" i="11"/>
  <c r="G38" i="11"/>
  <c r="O38" i="11"/>
  <c r="M38" i="11"/>
  <c r="N38" i="11" s="1"/>
  <c r="P38" i="11" s="1"/>
  <c r="C38" i="11"/>
  <c r="Q39" i="11" l="1"/>
  <c r="I38" i="11"/>
  <c r="J38" i="11" s="1"/>
  <c r="Q38" i="11" s="1"/>
  <c r="I37" i="11"/>
  <c r="H37" i="11"/>
  <c r="J37" i="11" s="1"/>
  <c r="G37" i="11"/>
  <c r="O37" i="11"/>
  <c r="K37" i="11"/>
  <c r="C37" i="11"/>
  <c r="H36" i="11" l="1"/>
  <c r="G36" i="11" l="1"/>
  <c r="I36" i="11" s="1"/>
  <c r="O36" i="11"/>
  <c r="M36" i="11"/>
  <c r="K36" i="11"/>
  <c r="C36" i="11"/>
  <c r="N36" i="11" l="1"/>
  <c r="P36" i="11" s="1"/>
  <c r="M37" i="11"/>
  <c r="N37" i="11" s="1"/>
  <c r="P37" i="11" s="1"/>
  <c r="Q37" i="11" s="1"/>
  <c r="J36" i="11"/>
  <c r="H35" i="11"/>
  <c r="I35" i="11"/>
  <c r="O35" i="11"/>
  <c r="K35" i="11"/>
  <c r="G35" i="11"/>
  <c r="C35" i="11"/>
  <c r="Q36" i="11" l="1"/>
  <c r="G34" i="11"/>
  <c r="H34" i="11" s="1"/>
  <c r="C34" i="11"/>
  <c r="O34" i="11"/>
  <c r="K34" i="11"/>
  <c r="J35" i="11" l="1"/>
  <c r="I34" i="11"/>
  <c r="H21" i="11"/>
  <c r="C33" i="11"/>
  <c r="O33" i="11"/>
  <c r="M33" i="11"/>
  <c r="K33" i="11"/>
  <c r="G33" i="11"/>
  <c r="N33" i="11" l="1"/>
  <c r="P33" i="11" s="1"/>
  <c r="M34" i="11"/>
  <c r="J34" i="11"/>
  <c r="G32" i="11"/>
  <c r="C32" i="11"/>
  <c r="O32" i="11"/>
  <c r="M32" i="11"/>
  <c r="N32" i="11" s="1"/>
  <c r="P32" i="11" s="1"/>
  <c r="K32" i="11"/>
  <c r="N34" i="11" l="1"/>
  <c r="P34" i="11" s="1"/>
  <c r="M35" i="11"/>
  <c r="N35" i="11" s="1"/>
  <c r="P35" i="11" s="1"/>
  <c r="Q35" i="11" s="1"/>
  <c r="Q34" i="11"/>
  <c r="C31" i="11"/>
  <c r="O31" i="11"/>
  <c r="M31" i="11"/>
  <c r="N31" i="11" s="1"/>
  <c r="K31" i="11"/>
  <c r="G31" i="11"/>
  <c r="P31" i="11" l="1"/>
  <c r="C30" i="11"/>
  <c r="G30" i="11"/>
  <c r="O30" i="11"/>
  <c r="M30" i="11"/>
  <c r="N30" i="11" s="1"/>
  <c r="K30" i="11"/>
  <c r="P30" i="11" l="1"/>
  <c r="G29" i="11" l="1"/>
  <c r="O29" i="11"/>
  <c r="M29" i="11"/>
  <c r="N29" i="11" s="1"/>
  <c r="K29" i="11"/>
  <c r="C29" i="11"/>
  <c r="P29" i="11" l="1"/>
  <c r="G28" i="11"/>
  <c r="C28" i="11"/>
  <c r="O28" i="11"/>
  <c r="M28" i="11"/>
  <c r="N28" i="11" s="1"/>
  <c r="K28" i="11"/>
  <c r="P28" i="11" l="1"/>
  <c r="H22" i="11" l="1"/>
  <c r="H23" i="11"/>
  <c r="H24" i="11"/>
  <c r="H25" i="11"/>
  <c r="G27" i="11"/>
  <c r="C27" i="11"/>
  <c r="G26" i="11"/>
  <c r="O27" i="11"/>
  <c r="M27" i="11"/>
  <c r="N27" i="11" s="1"/>
  <c r="P27" i="11" s="1"/>
  <c r="K27" i="11"/>
  <c r="H32" i="11" l="1"/>
  <c r="I32" i="11" s="1"/>
  <c r="J32" i="11" s="1"/>
  <c r="Q32" i="11" s="1"/>
  <c r="H33" i="11"/>
  <c r="I33" i="11" s="1"/>
  <c r="H31" i="11"/>
  <c r="I31" i="11" s="1"/>
  <c r="J31" i="11" s="1"/>
  <c r="Q31" i="11" s="1"/>
  <c r="H30" i="11"/>
  <c r="I30" i="11" s="1"/>
  <c r="J30" i="11" s="1"/>
  <c r="Q30" i="11" s="1"/>
  <c r="H29" i="11"/>
  <c r="I29" i="11" s="1"/>
  <c r="J29" i="11" s="1"/>
  <c r="Q29" i="11" s="1"/>
  <c r="H28" i="11"/>
  <c r="I28" i="11" s="1"/>
  <c r="J28" i="11" s="1"/>
  <c r="Q28" i="11" s="1"/>
  <c r="H27" i="11"/>
  <c r="H26" i="11"/>
  <c r="I27" i="11"/>
  <c r="J33" i="11" l="1"/>
  <c r="J27" i="11"/>
  <c r="I26" i="11"/>
  <c r="O26" i="11"/>
  <c r="K26" i="11"/>
  <c r="C26" i="11"/>
  <c r="Q33" i="11" l="1"/>
  <c r="Q27" i="11"/>
  <c r="J26" i="11"/>
  <c r="C25" i="11"/>
  <c r="O25" i="11" l="1"/>
  <c r="M25" i="11"/>
  <c r="M26" i="11" s="1"/>
  <c r="N26" i="11" s="1"/>
  <c r="P26" i="11" s="1"/>
  <c r="Q26" i="11" s="1"/>
  <c r="K25" i="11"/>
  <c r="G25" i="11"/>
  <c r="I25" i="11" s="1"/>
  <c r="N25" i="11" l="1"/>
  <c r="P25" i="11" s="1"/>
  <c r="J25" i="11"/>
  <c r="C24" i="11"/>
  <c r="G24" i="11"/>
  <c r="I24" i="11" s="1"/>
  <c r="O24" i="11"/>
  <c r="M24" i="11"/>
  <c r="N24" i="11" s="1"/>
  <c r="K24" i="11"/>
  <c r="Q25" i="11" l="1"/>
  <c r="J24" i="11"/>
  <c r="Q24" i="11"/>
  <c r="P24" i="11"/>
  <c r="I21" i="11"/>
  <c r="I22" i="11"/>
  <c r="I23" i="11"/>
  <c r="J21" i="11"/>
  <c r="J22" i="11"/>
  <c r="J23" i="11" l="1"/>
  <c r="C23" i="11"/>
  <c r="N23" i="11" l="1"/>
  <c r="O23" i="11"/>
  <c r="P23" i="11"/>
  <c r="M23" i="11"/>
  <c r="G23" i="11"/>
  <c r="K23" i="11"/>
  <c r="Q23" i="11" l="1"/>
  <c r="C22" i="11"/>
  <c r="C21" i="11" l="1"/>
  <c r="K22" i="11"/>
  <c r="G22" i="11"/>
  <c r="P20" i="11" l="1"/>
  <c r="O21" i="11"/>
  <c r="O22" i="11"/>
  <c r="O20" i="11"/>
  <c r="M21" i="11"/>
  <c r="M22" i="11" s="1"/>
  <c r="N22" i="11" s="1"/>
  <c r="G21" i="11"/>
  <c r="P22" i="11" l="1"/>
  <c r="Q22" i="11" s="1"/>
  <c r="Q9" i="11"/>
  <c r="Q13" i="11" l="1"/>
  <c r="Q14" i="11"/>
  <c r="N20" i="11" l="1"/>
  <c r="N21" i="11" l="1"/>
  <c r="P21" i="11" l="1"/>
</calcChain>
</file>

<file path=xl/sharedStrings.xml><?xml version="1.0" encoding="utf-8"?>
<sst xmlns="http://schemas.openxmlformats.org/spreadsheetml/2006/main" count="32" uniqueCount="27">
  <si>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</si>
  <si>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</si>
  <si>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</si>
  <si>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</si>
  <si>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</si>
  <si>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</si>
  <si>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</si>
  <si>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</si>
  <si>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</si>
  <si>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</si>
  <si>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</si>
  <si>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</si>
  <si>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</si>
  <si>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</si>
  <si>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</si>
  <si>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</si>
  <si>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</si>
  <si>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</si>
  <si>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</si>
  <si>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</si>
  <si>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</si>
  <si>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</si>
  <si>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>Kiwoom</t>
  </si>
  <si>
    <t xml:space="preserve">WAL </t>
  </si>
  <si>
    <t>mat</t>
  </si>
  <si>
    <t>final mat</t>
  </si>
  <si>
    <t>unhide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</si>
</sst>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-* #,##0.00000_-;\-* #,##0.00000_-;_-* &quot;-&quot;??_-;_-@_-"/>
    <numFmt numFmtId="173" formatCode="[$-F800]dddd\,\ mmmm\ dd\,\ yyyy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2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54" fillId="46" borderId="0" xfId="31498" applyNumberFormat="1" applyFont="1" applyFill="1" applyBorder="1"/>
    <xf numFmtId="173" fontId="0" fillId="46" borderId="0" xfId="0" applyNumberFormat="1" applyFill="1"/>
    <xf numFmtId="0" fontId="0" fillId="46" borderId="0" xfId="0" applyNumberFormat="1" applyFill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5" fontId="54" fillId="49" borderId="0" xfId="0" applyNumberFormat="1" applyFont="1" applyFill="1" applyBorder="1"/>
    <xf numFmtId="169" fontId="0" fillId="46" borderId="0" xfId="31498" applyNumberFormat="1" applyFont="1" applyFill="1"/>
    <xf numFmtId="165" fontId="54" fillId="0" borderId="0" xfId="0" applyNumberFormat="1" applyFont="1" applyFill="1" applyBorder="1"/>
    <xf numFmtId="170" fontId="54" fillId="46" borderId="20" xfId="0" applyNumberFormat="1" applyFont="1" applyFill="1" applyBorder="1"/>
    <xf numFmtId="168" fontId="54" fillId="46" borderId="20" xfId="0" applyNumberFormat="1" applyFont="1" applyFill="1" applyBorder="1" applyAlignment="1">
      <alignment wrapText="1"/>
    </xf>
    <xf numFmtId="168" fontId="54" fillId="46" borderId="21" xfId="0" applyNumberFormat="1" applyFont="1" applyFill="1" applyBorder="1"/>
    <xf numFmtId="10" fontId="54" fillId="46" borderId="21" xfId="31499" applyNumberFormat="1" applyFont="1" applyFill="1" applyBorder="1"/>
    <xf numFmtId="171" fontId="54" fillId="46" borderId="21" xfId="31498" applyNumberFormat="1" applyFont="1" applyFill="1" applyBorder="1"/>
    <xf numFmtId="171" fontId="54" fillId="46" borderId="21" xfId="31499" applyNumberFormat="1" applyFont="1" applyFill="1" applyBorder="1"/>
    <xf numFmtId="10" fontId="54" fillId="46" borderId="28" xfId="31499" applyNumberFormat="1" applyFont="1" applyFill="1" applyBorder="1"/>
    <xf numFmtId="171" fontId="54" fillId="46" borderId="22" xfId="31499" applyNumberFormat="1" applyFont="1" applyFill="1" applyBorder="1"/>
    <xf numFmtId="10" fontId="54" fillId="46" borderId="20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952500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topLeftCell="A11" workbookViewId="0">
      <selection activeCell="S15" sqref="S15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.42578125" style="3" customWidth="1"/>
    <col min="6" max="6" width="15" style="3" customWidth="1"/>
    <col min="7" max="8" width="19" style="3" hidden="1" customWidth="1"/>
    <col min="9" max="9" width="15.42578125" style="3" customWidth="1"/>
    <col min="10" max="10" width="16.140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23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4">
        <f>E11</f>
        <v>42886</v>
      </c>
    </row>
    <row r="10" spans="2:17" s="1" customFormat="1">
      <c r="B10" s="5" t="s">
        <v>3</v>
      </c>
      <c r="D10" s="25"/>
      <c r="E10" s="26" t="s">
        <v>22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P11" s="1" t="s">
        <v>24</v>
      </c>
      <c r="Q11" s="44">
        <v>42419</v>
      </c>
    </row>
    <row r="12" spans="2:17" s="1" customFormat="1">
      <c r="B12" s="5" t="s">
        <v>19</v>
      </c>
      <c r="D12" s="25"/>
      <c r="E12" s="28">
        <v>10</v>
      </c>
      <c r="G12" s="16"/>
      <c r="H12" s="16"/>
      <c r="P12" s="1" t="s">
        <v>25</v>
      </c>
      <c r="Q12" s="44">
        <v>42779</v>
      </c>
    </row>
    <row r="13" spans="2:17" s="1" customFormat="1">
      <c r="B13" s="5" t="s">
        <v>12</v>
      </c>
      <c r="D13" s="25"/>
      <c r="E13" s="28">
        <v>60000000</v>
      </c>
      <c r="F13" s="49">
        <f>E13-E14</f>
        <v>51096014.880000003</v>
      </c>
      <c r="G13" s="17"/>
      <c r="H13" s="17"/>
      <c r="Q13" s="45">
        <f>(YEAR(Q11)-YEAR(Q9))*12+MONTH(Q11)-MONTH(Q9)</f>
        <v>-15</v>
      </c>
    </row>
    <row r="14" spans="2:17" s="1" customFormat="1">
      <c r="B14" s="5" t="s">
        <v>5</v>
      </c>
      <c r="D14" s="25"/>
      <c r="E14" s="28">
        <f>E13-C50</f>
        <v>8903985.1199999973</v>
      </c>
      <c r="F14" s="46" t="s">
        <v>26</v>
      </c>
      <c r="G14" s="17"/>
      <c r="H14" s="17"/>
      <c r="Q14" s="45">
        <f>(YEAR(Q12)-YEAR(Q9))*12+MONTH(Q12)-MONTH(Q9)</f>
        <v>-3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51">
        <v>42035</v>
      </c>
      <c r="C20" s="52">
        <v>12768671</v>
      </c>
      <c r="D20" s="53">
        <v>13484009</v>
      </c>
      <c r="E20" s="53">
        <v>0</v>
      </c>
      <c r="F20" s="54"/>
      <c r="G20" s="55"/>
      <c r="H20" s="56"/>
      <c r="I20" s="58"/>
      <c r="J20" s="59"/>
      <c r="K20" s="32"/>
      <c r="L20" s="40">
        <v>1.01E-4</v>
      </c>
      <c r="M20" s="34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39"/>
    </row>
    <row r="21" spans="2:17">
      <c r="B21" s="29">
        <v>42063</v>
      </c>
      <c r="C21" s="30">
        <f>+C20</f>
        <v>12768671</v>
      </c>
      <c r="D21" s="31">
        <v>13365807.75</v>
      </c>
      <c r="E21" s="31">
        <v>0</v>
      </c>
      <c r="F21" s="32">
        <v>-8.7659999999999995E-3</v>
      </c>
      <c r="G21" s="43">
        <f t="shared" ref="G21:G25" si="0">+F21+1</f>
        <v>0.99123399999999995</v>
      </c>
      <c r="H21" s="47">
        <f>+G21</f>
        <v>0.99123399999999995</v>
      </c>
      <c r="I21" s="39">
        <f t="shared" ref="I21:I26" si="1">+H21-1</f>
        <v>-8.7660000000000515E-3</v>
      </c>
      <c r="J21" s="60">
        <f t="shared" ref="J21:J26" si="2">+(1+I21)^(365/(B21-$B$20))-1</f>
        <v>-0.10843315835433387</v>
      </c>
      <c r="K21" s="32"/>
      <c r="L21" s="40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1"/>
    </row>
    <row r="22" spans="2:17">
      <c r="B22" s="29">
        <v>42094</v>
      </c>
      <c r="C22" s="30">
        <f>+C21+1382170</f>
        <v>14150841</v>
      </c>
      <c r="D22" s="31">
        <v>14864558.07</v>
      </c>
      <c r="E22" s="31">
        <v>0</v>
      </c>
      <c r="F22" s="32">
        <v>7.1120086800000003E-3</v>
      </c>
      <c r="G22" s="43">
        <f t="shared" si="0"/>
        <v>1.0071120086800001</v>
      </c>
      <c r="H22" s="47">
        <f>+G22*G21</f>
        <v>0.99828366481191111</v>
      </c>
      <c r="I22" s="39">
        <f t="shared" si="1"/>
        <v>-1.7163351880888911E-3</v>
      </c>
      <c r="J22" s="60">
        <f t="shared" si="2"/>
        <v>-1.057085986521844E-2</v>
      </c>
      <c r="K22" s="32">
        <f>STDEV($F$21:F22)*(12^0.5)</f>
        <v>3.889301939748227E-2</v>
      </c>
      <c r="L22" s="40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1">
        <f t="shared" ref="Q22:Q27" si="8">+(J22-P22)/K22</f>
        <v>-0.27427715317972828</v>
      </c>
    </row>
    <row r="23" spans="2:17">
      <c r="B23" s="29">
        <v>42124</v>
      </c>
      <c r="C23" s="30">
        <f>+C22+8062658.37</f>
        <v>22213499.370000001</v>
      </c>
      <c r="D23" s="31">
        <v>23383985.16</v>
      </c>
      <c r="E23" s="31">
        <v>0</v>
      </c>
      <c r="F23" s="32">
        <v>1.9922555000000002E-2</v>
      </c>
      <c r="G23" s="43">
        <f t="shared" si="0"/>
        <v>1.019922555</v>
      </c>
      <c r="H23" s="47">
        <f>+G23*G22*G21</f>
        <v>1.018172026029728</v>
      </c>
      <c r="I23" s="39">
        <f t="shared" si="1"/>
        <v>1.8172026029728006E-2</v>
      </c>
      <c r="J23" s="60">
        <f t="shared" si="2"/>
        <v>7.6652484489605932E-2</v>
      </c>
      <c r="K23" s="32">
        <f>STDEV($F$21:F23)*(12^0.5)</f>
        <v>4.978462502916027E-2</v>
      </c>
      <c r="L23" s="40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1">
        <f t="shared" si="8"/>
        <v>1.5389793925075366</v>
      </c>
    </row>
    <row r="24" spans="2:17">
      <c r="B24" s="29">
        <v>42155</v>
      </c>
      <c r="C24" s="30">
        <f>+C23+7246026.26</f>
        <v>29459525.630000003</v>
      </c>
      <c r="D24" s="31">
        <v>30707519.68</v>
      </c>
      <c r="E24" s="31">
        <v>0</v>
      </c>
      <c r="F24" s="32">
        <v>2.5304680000000001E-3</v>
      </c>
      <c r="G24" s="43">
        <f t="shared" si="0"/>
        <v>1.002530468</v>
      </c>
      <c r="H24" s="47">
        <f>+G24*G23*G22*G21</f>
        <v>1.0207484777600915</v>
      </c>
      <c r="I24" s="39">
        <f t="shared" si="1"/>
        <v>2.0748477760091477E-2</v>
      </c>
      <c r="J24" s="60">
        <f t="shared" si="2"/>
        <v>6.4456300767670616E-2</v>
      </c>
      <c r="K24" s="32">
        <f>STDEV($F$21:F24)*(12^0.5)</f>
        <v>4.1113742704114574E-2</v>
      </c>
      <c r="L24" s="40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1">
        <f t="shared" si="8"/>
        <v>1.5670751097602384</v>
      </c>
    </row>
    <row r="25" spans="2:17">
      <c r="B25" s="29">
        <v>42185</v>
      </c>
      <c r="C25" s="30">
        <f>+C24</f>
        <v>29459525.630000003</v>
      </c>
      <c r="D25" s="31">
        <v>30787645.109999999</v>
      </c>
      <c r="E25" s="31">
        <v>211932.73</v>
      </c>
      <c r="F25" s="32">
        <v>9.5770629000000006E-3</v>
      </c>
      <c r="G25" s="43">
        <f t="shared" si="0"/>
        <v>1.0095770629</v>
      </c>
      <c r="H25" s="47">
        <f>+G25*G24*G23*G22*G21</f>
        <v>1.0305242501366791</v>
      </c>
      <c r="I25" s="39">
        <f t="shared" si="1"/>
        <v>3.0524250136679143E-2</v>
      </c>
      <c r="J25" s="60">
        <f t="shared" si="2"/>
        <v>7.5907641957616567E-2</v>
      </c>
      <c r="K25" s="32">
        <f>STDEV($F$21:F25)*(12^0.5)</f>
        <v>3.6245562441299471E-2</v>
      </c>
      <c r="L25" s="40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1">
        <f t="shared" si="8"/>
        <v>2.0940705744128509</v>
      </c>
    </row>
    <row r="26" spans="2:17">
      <c r="B26" s="29">
        <v>42216</v>
      </c>
      <c r="C26" s="30">
        <f>+C25</f>
        <v>29459525.630000003</v>
      </c>
      <c r="D26" s="31">
        <v>30985732.789999999</v>
      </c>
      <c r="E26" s="31">
        <v>0</v>
      </c>
      <c r="F26" s="32">
        <v>6.43E-3</v>
      </c>
      <c r="G26" s="43">
        <f t="shared" ref="G26:G31" si="10">+F26+1</f>
        <v>1.0064299999999999</v>
      </c>
      <c r="H26" s="47">
        <f>+G26*G25*G24*G23*G22*G21</f>
        <v>1.037150521065058</v>
      </c>
      <c r="I26" s="39">
        <f t="shared" si="1"/>
        <v>3.7150521065058006E-2</v>
      </c>
      <c r="J26" s="60">
        <f t="shared" si="2"/>
        <v>7.6331748563737367E-2</v>
      </c>
      <c r="K26" s="32">
        <f>STDEV($F$21:F26)*(12^0.5)</f>
        <v>3.2422898954042337E-2</v>
      </c>
      <c r="L26" s="40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1">
        <f t="shared" si="8"/>
        <v>2.3531743743896274</v>
      </c>
    </row>
    <row r="27" spans="2:17">
      <c r="B27" s="29">
        <v>42247</v>
      </c>
      <c r="C27" s="30">
        <f>+C26+1336097.67</f>
        <v>30795623.300000004</v>
      </c>
      <c r="D27" s="31">
        <v>32407430.760000002</v>
      </c>
      <c r="E27" s="31">
        <v>168164.02</v>
      </c>
      <c r="F27" s="32">
        <v>7.89224E-3</v>
      </c>
      <c r="G27" s="43">
        <f t="shared" si="10"/>
        <v>1.0078922400000001</v>
      </c>
      <c r="H27" s="47">
        <f>+G27*G26*G25*G24*G23*G22*G21</f>
        <v>1.0453359618934284</v>
      </c>
      <c r="I27" s="39">
        <f t="shared" ref="I27" si="11">+H27-1</f>
        <v>4.5335961893428367E-2</v>
      </c>
      <c r="J27" s="60">
        <f t="shared" ref="J27" si="12">+(1+I27)^(365/(B27-$B$20))-1</f>
        <v>7.9326479300229513E-2</v>
      </c>
      <c r="K27" s="32">
        <f>STDEV($F$21:F27)*(12^0.5)</f>
        <v>2.9687277285884998E-2</v>
      </c>
      <c r="L27" s="40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1">
        <f t="shared" si="8"/>
        <v>2.6710378894706386</v>
      </c>
    </row>
    <row r="28" spans="2:17">
      <c r="B28" s="29">
        <v>42277</v>
      </c>
      <c r="C28" s="30">
        <f>+C27</f>
        <v>30795623.300000004</v>
      </c>
      <c r="D28" s="31">
        <v>33061494.170000002</v>
      </c>
      <c r="E28" s="31">
        <v>0</v>
      </c>
      <c r="F28" s="32">
        <v>2.0182513799999999E-2</v>
      </c>
      <c r="G28" s="43">
        <f t="shared" si="10"/>
        <v>1.0201825138</v>
      </c>
      <c r="H28" s="47">
        <f>+G28*G27*G26*G25*G24*G23*G22*G21</f>
        <v>1.0664334693699788</v>
      </c>
      <c r="I28" s="39">
        <f t="shared" ref="I28" si="14">+H28-1</f>
        <v>6.6433469369978848E-2</v>
      </c>
      <c r="J28" s="60">
        <f t="shared" ref="J28" si="15">+(1+I28)^(365/(B28-$B$20))-1</f>
        <v>0.1018729143716619</v>
      </c>
      <c r="K28" s="32">
        <f>STDEV($F$21:F28)*(12^0.5)</f>
        <v>3.2264018294774197E-2</v>
      </c>
      <c r="L28" s="40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1">
        <f t="shared" ref="Q28" si="18">+(J28-P28)/K28</f>
        <v>3.1573128644631558</v>
      </c>
    </row>
    <row r="29" spans="2:17">
      <c r="B29" s="29">
        <v>42308</v>
      </c>
      <c r="C29" s="30">
        <f>+C28</f>
        <v>30795623.300000004</v>
      </c>
      <c r="D29" s="31">
        <v>33021103.210000001</v>
      </c>
      <c r="E29" s="31">
        <v>298548.71999999997</v>
      </c>
      <c r="F29" s="32">
        <v>7.8795600000000007E-3</v>
      </c>
      <c r="G29" s="43">
        <f t="shared" si="10"/>
        <v>1.0078795599999999</v>
      </c>
      <c r="H29" s="47">
        <f>+G29*G28*G27*G26*G25*G24*G23*G22*G21</f>
        <v>1.0748364958778878</v>
      </c>
      <c r="I29" s="39">
        <f t="shared" ref="I29" si="19">+H29-1</f>
        <v>7.4836495877887765E-2</v>
      </c>
      <c r="J29" s="60">
        <f t="shared" ref="J29" si="20">+(1+I29)^(365/(B29-$B$20))-1</f>
        <v>0.10129756725784955</v>
      </c>
      <c r="K29" s="32">
        <f>STDEV($F$21:F29)*(12^0.5)</f>
        <v>3.018139966270381E-2</v>
      </c>
      <c r="L29" s="40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ref="P29" si="23">-1+(N29^(1/O29))</f>
        <v>4.7829139961930167E-6</v>
      </c>
      <c r="Q29" s="41">
        <f t="shared" ref="Q29" si="24">+(J29-P29)/K29</f>
        <v>3.3561327664012985</v>
      </c>
    </row>
    <row r="30" spans="2:17">
      <c r="B30" s="29">
        <v>42338</v>
      </c>
      <c r="C30" s="30">
        <f>+C29+1796821</f>
        <v>32592444.300000004</v>
      </c>
      <c r="D30" s="31">
        <v>34859918.200000003</v>
      </c>
      <c r="E30" s="31">
        <v>0</v>
      </c>
      <c r="F30" s="32">
        <v>1.2061025999999999E-3</v>
      </c>
      <c r="G30" s="43">
        <f t="shared" si="10"/>
        <v>1.0012061026000001</v>
      </c>
      <c r="H30" s="47">
        <f>+G30*G29*G28*G27*G26*G25*G24*G23*G22*G21</f>
        <v>1.0761328589701413</v>
      </c>
      <c r="I30" s="39">
        <f t="shared" ref="I30" si="25">+H30-1</f>
        <v>7.6132858970141326E-2</v>
      </c>
      <c r="J30" s="60">
        <f t="shared" ref="J30" si="26">+(1+I30)^(365/(B30-$B$20))-1</f>
        <v>9.2411607502621562E-2</v>
      </c>
      <c r="K30" s="32">
        <f>STDEV($F$21:F30)*(12^0.5)</f>
        <v>2.9436007732178904E-2</v>
      </c>
      <c r="L30" s="40">
        <v>9.1500000000000001E-4</v>
      </c>
      <c r="M30" s="33">
        <f t="shared" ref="M30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1">
        <f t="shared" ref="Q30" si="30">+(J30-P30)/K30</f>
        <v>3.1364720807776449</v>
      </c>
    </row>
    <row r="31" spans="2:17">
      <c r="B31" s="29">
        <v>42369</v>
      </c>
      <c r="C31" s="30">
        <f>+C30+8576364.9</f>
        <v>41168809.200000003</v>
      </c>
      <c r="D31" s="31">
        <v>43431281.210000001</v>
      </c>
      <c r="E31" s="31">
        <v>0</v>
      </c>
      <c r="F31" s="32">
        <v>-1.1514999999999999E-4</v>
      </c>
      <c r="G31" s="43">
        <f t="shared" si="10"/>
        <v>0.99988485000000005</v>
      </c>
      <c r="H31" s="47">
        <f>+G31*G30*G29*G28*G27*G26*G25*G24*G23*G22*G21</f>
        <v>1.076008942271431</v>
      </c>
      <c r="I31" s="39">
        <f t="shared" ref="I31" si="31">+H31-1</f>
        <v>7.6008942271430957E-2</v>
      </c>
      <c r="J31" s="60">
        <f t="shared" ref="J31" si="32">+(1+I31)^(365/(B31-$B$20))-1</f>
        <v>8.3350159352053366E-2</v>
      </c>
      <c r="K31" s="32">
        <f>STDEV($F$21:F31)*(12^0.5)</f>
        <v>2.900668187253513E-2</v>
      </c>
      <c r="L31" s="40">
        <v>1.2199999999999999E-3</v>
      </c>
      <c r="M31" s="33">
        <f t="shared" ref="M31" si="33">+M30*(1+(L31*(B31-B30)/365))</f>
        <v>100.01828161831793</v>
      </c>
      <c r="N31" s="32">
        <f t="shared" ref="N31" si="34">+M31/100</f>
        <v>1.0001828161831794</v>
      </c>
      <c r="O31" s="33">
        <f>COUNT($B$20:B31)/12</f>
        <v>1</v>
      </c>
      <c r="P31" s="32">
        <f t="shared" ref="P31" si="35">-1+(N31^(1/O31))</f>
        <v>1.8281618317939063E-4</v>
      </c>
      <c r="Q31" s="41">
        <f t="shared" ref="Q31" si="36">+(J31-P31)/K31</f>
        <v>2.8671787946769833</v>
      </c>
    </row>
    <row r="32" spans="2:17">
      <c r="B32" s="29">
        <v>42400</v>
      </c>
      <c r="C32" s="30">
        <f>+C31</f>
        <v>41168809.200000003</v>
      </c>
      <c r="D32" s="31">
        <v>43304771.869999997</v>
      </c>
      <c r="E32" s="31">
        <v>354756.97</v>
      </c>
      <c r="F32" s="32">
        <v>5.2986550000000002E-3</v>
      </c>
      <c r="G32" s="43">
        <f t="shared" ref="G32:G37" si="37">+F32+1</f>
        <v>1.005298655</v>
      </c>
      <c r="H32" s="47">
        <f>+G32*G31*G30*G29*G28*G27*G26*G25*G24*G23*G22*G21</f>
        <v>1.081710342433442</v>
      </c>
      <c r="I32" s="39">
        <f t="shared" ref="I32:I37" si="38">+H32-1</f>
        <v>8.1710342433441996E-2</v>
      </c>
      <c r="J32" s="60">
        <f t="shared" ref="J32:J37" si="39">+(1+I32)^(365/(B32-$B$20))-1</f>
        <v>8.1710342433441996E-2</v>
      </c>
      <c r="K32" s="32">
        <f>STDEV($F$21:F32)*(12^0.5)</f>
        <v>2.7692965432807626E-2</v>
      </c>
      <c r="L32" s="40">
        <v>2.186E-3</v>
      </c>
      <c r="M32" s="33">
        <f t="shared" ref="M32" si="40">+M31*(1+(L32*(B32-B31)/365))</f>
        <v>100.03685103988546</v>
      </c>
      <c r="N32" s="32">
        <f t="shared" ref="N32" si="41">+M32/100</f>
        <v>1.0003685103988547</v>
      </c>
      <c r="O32" s="33">
        <f>COUNT($B$20:B32)/12</f>
        <v>1.0833333333333333</v>
      </c>
      <c r="P32" s="32">
        <f t="shared" ref="P32" si="42">-1+(N32^(1/O32))</f>
        <v>3.4015862443559364E-4</v>
      </c>
      <c r="Q32" s="41">
        <f t="shared" ref="Q32" si="43">+(J32-P32)/K32</f>
        <v>2.9382979589685916</v>
      </c>
    </row>
    <row r="33" spans="2:17">
      <c r="B33" s="29">
        <v>42429</v>
      </c>
      <c r="C33" s="30">
        <f>+C32+1221838.28</f>
        <v>42390647.480000004</v>
      </c>
      <c r="D33" s="31">
        <v>44569901.280000001</v>
      </c>
      <c r="E33" s="31">
        <v>0</v>
      </c>
      <c r="F33" s="32">
        <v>9.7230000000000005E-4</v>
      </c>
      <c r="G33" s="43">
        <f t="shared" si="37"/>
        <v>1.0009722999999999</v>
      </c>
      <c r="H33" s="47">
        <f>+G33*G32*G31*G30*G29*G28*G27*G26*G25*G24*G23*G22*G21</f>
        <v>1.0827620893993899</v>
      </c>
      <c r="I33" s="39">
        <f t="shared" si="38"/>
        <v>8.2762089399389893E-2</v>
      </c>
      <c r="J33" s="60">
        <f t="shared" si="39"/>
        <v>7.6443573680712751E-2</v>
      </c>
      <c r="K33" s="32">
        <f>STDEV($F$21:F33)*(12^0.5)</f>
        <v>2.7058889280019205E-2</v>
      </c>
      <c r="L33" s="40">
        <v>2.186E-3</v>
      </c>
      <c r="M33" s="33">
        <f t="shared" ref="M33" si="44">+M32*(1+(L33*(B33-B32)/365))</f>
        <v>100.05422565943292</v>
      </c>
      <c r="N33" s="32">
        <f t="shared" ref="N33" si="45">+M33/100</f>
        <v>1.0005422565943292</v>
      </c>
      <c r="O33" s="33">
        <f>COUNT($B$20:B33)/12</f>
        <v>1.1666666666666667</v>
      </c>
      <c r="P33" s="32">
        <f t="shared" ref="P33" si="46">-1+(N33^(1/O33))</f>
        <v>4.6477336770101019E-4</v>
      </c>
      <c r="Q33" s="41">
        <f t="shared" ref="Q33" si="47">+(J33-P33)/K33</f>
        <v>2.8079053625130106</v>
      </c>
    </row>
    <row r="34" spans="2:17">
      <c r="B34" s="29">
        <v>42460</v>
      </c>
      <c r="C34" s="30">
        <f t="shared" ref="C34:C42" si="48">+C33</f>
        <v>42390647.480000004</v>
      </c>
      <c r="D34" s="31">
        <v>45265929.740000002</v>
      </c>
      <c r="E34" s="31">
        <v>0</v>
      </c>
      <c r="F34" s="32">
        <v>1.561656E-2</v>
      </c>
      <c r="G34" s="43">
        <f t="shared" si="37"/>
        <v>1.01561656</v>
      </c>
      <c r="H34" s="47">
        <f>+G34*G33*G32*G31*G30*G29*G28*G27*G26*G25*G24*G23*G22*G21</f>
        <v>1.0996711085342208</v>
      </c>
      <c r="I34" s="39">
        <f t="shared" si="38"/>
        <v>9.9671108534220787E-2</v>
      </c>
      <c r="J34" s="60">
        <f t="shared" si="39"/>
        <v>8.501933275462159E-2</v>
      </c>
      <c r="K34" s="32">
        <f>STDEV($F$21:F34)*(12^0.5)</f>
        <v>2.7431008573471423E-2</v>
      </c>
      <c r="L34" s="40">
        <v>1.678E-3</v>
      </c>
      <c r="M34" s="33">
        <f t="shared" ref="M34" si="49">+M33*(1+(L34*(B34-B33)/365))</f>
        <v>100.06848489425579</v>
      </c>
      <c r="N34" s="32">
        <f t="shared" ref="N34" si="50">+M34/100</f>
        <v>1.0006848489425579</v>
      </c>
      <c r="O34" s="33">
        <f>COUNT($B$20:B34)/12</f>
        <v>1.25</v>
      </c>
      <c r="P34" s="32">
        <f t="shared" ref="P34" si="51">-1+(N34^(1/O34))</f>
        <v>5.4784164287524639E-4</v>
      </c>
      <c r="Q34" s="41">
        <f t="shared" ref="Q34" si="52">+(J34-P34)/K34</f>
        <v>3.0794161609296014</v>
      </c>
    </row>
    <row r="35" spans="2:17">
      <c r="B35" s="29">
        <v>42490</v>
      </c>
      <c r="C35" s="30">
        <f t="shared" si="48"/>
        <v>42390647.480000004</v>
      </c>
      <c r="D35" s="31">
        <v>44115097.469999999</v>
      </c>
      <c r="E35" s="31">
        <v>1660907.62</v>
      </c>
      <c r="F35" s="32">
        <v>1.1697600000000001E-2</v>
      </c>
      <c r="G35" s="43">
        <f t="shared" si="37"/>
        <v>1.0116976</v>
      </c>
      <c r="H35" s="47">
        <f>+G35*G34*G33*G32*G31*G30*G29*G28*G27*G26*G25*G24*G23*G22*G21</f>
        <v>1.1125346212934104</v>
      </c>
      <c r="I35" s="39">
        <f t="shared" si="38"/>
        <v>0.11253462129341041</v>
      </c>
      <c r="J35" s="60">
        <f t="shared" si="39"/>
        <v>8.9312822518891721E-2</v>
      </c>
      <c r="K35" s="32">
        <f>STDEV($F$21:F35)*(12^0.5)</f>
        <v>2.6788091068508706E-2</v>
      </c>
      <c r="L35" s="40">
        <v>1.5250000000000001E-3</v>
      </c>
      <c r="M35" s="33">
        <f t="shared" ref="M35" si="53">+M34*(1+(L35*(B35-B34)/365))</f>
        <v>100.08102772489664</v>
      </c>
      <c r="N35" s="32">
        <f t="shared" ref="N35" si="54">+M35/100</f>
        <v>1.0008102772489664</v>
      </c>
      <c r="O35" s="33">
        <f>COUNT($B$20:B35)/12</f>
        <v>1.3333333333333333</v>
      </c>
      <c r="P35" s="32">
        <f t="shared" ref="P35" si="55">-1+(N35^(1/O35))</f>
        <v>6.0764640600674547E-4</v>
      </c>
      <c r="Q35" s="41">
        <f t="shared" ref="Q35" si="56">+(J35-P35)/K35</f>
        <v>3.3113660800251714</v>
      </c>
    </row>
    <row r="36" spans="2:17">
      <c r="B36" s="29">
        <v>42521</v>
      </c>
      <c r="C36" s="30">
        <f t="shared" si="48"/>
        <v>42390647.480000004</v>
      </c>
      <c r="D36" s="31">
        <v>45765009.93</v>
      </c>
      <c r="E36" s="31">
        <v>0</v>
      </c>
      <c r="F36" s="32">
        <v>3.7400179999999998E-2</v>
      </c>
      <c r="G36" s="43">
        <f t="shared" si="37"/>
        <v>1.0374001799999999</v>
      </c>
      <c r="H36" s="47">
        <f>+G36*G35*G34*G33*G32*G31*G30*G29*G28*G27*G26*G25*G24*G23*G22*G21</f>
        <v>1.1541436163860161</v>
      </c>
      <c r="I36" s="39">
        <f t="shared" si="38"/>
        <v>0.15414361638601615</v>
      </c>
      <c r="J36" s="60">
        <f t="shared" si="39"/>
        <v>0.11367621310214915</v>
      </c>
      <c r="K36" s="32">
        <f>STDEV($F$21:F36)*(12^0.5)</f>
        <v>3.681715315982851E-2</v>
      </c>
      <c r="L36" s="50">
        <v>1.7799999999999999E-3</v>
      </c>
      <c r="M36" s="33">
        <f t="shared" ref="M36" si="57">+M35*(1+(L36*(B36-B35)/365))</f>
        <v>100.09615778273186</v>
      </c>
      <c r="N36" s="32">
        <f t="shared" ref="N36" si="58">+M36/100</f>
        <v>1.0009615778273186</v>
      </c>
      <c r="O36" s="33">
        <f>COUNT($B$20:B36)/12</f>
        <v>1.4166666666666667</v>
      </c>
      <c r="P36" s="32">
        <f t="shared" ref="P36" si="59">-1+(N36^(1/O36))</f>
        <v>6.7866487652312735E-4</v>
      </c>
      <c r="Q36" s="41">
        <f t="shared" ref="Q36" si="60">+(J36-P36)/K36</f>
        <v>3.0691549597843037</v>
      </c>
    </row>
    <row r="37" spans="2:17">
      <c r="B37" s="29">
        <v>42551</v>
      </c>
      <c r="C37" s="30">
        <f t="shared" si="48"/>
        <v>42390647.480000004</v>
      </c>
      <c r="D37" s="31">
        <v>45956066.189999998</v>
      </c>
      <c r="E37" s="31">
        <v>0</v>
      </c>
      <c r="F37" s="32">
        <v>4.1746999999999999E-3</v>
      </c>
      <c r="G37" s="43">
        <f t="shared" si="37"/>
        <v>1.0041747000000001</v>
      </c>
      <c r="H37" s="47">
        <f>+G37*G36*G35*G34*G33*G32*G31*G30*G29*G28*G27*G26*G25*G24*G23*G22*G21</f>
        <v>1.1589618197413427</v>
      </c>
      <c r="I37" s="39">
        <f t="shared" si="38"/>
        <v>0.15896181974134271</v>
      </c>
      <c r="J37" s="60">
        <f t="shared" si="39"/>
        <v>0.10999294185037023</v>
      </c>
      <c r="K37" s="32">
        <f>STDEV($F$21:F37)*(12^0.5)</f>
        <v>3.5882828986444147E-2</v>
      </c>
      <c r="L37" s="40">
        <v>1.6800000000000001E-3</v>
      </c>
      <c r="M37" s="33">
        <f t="shared" ref="M37" si="61">+M36*(1+(L37*(B37-B36)/365))</f>
        <v>100.10997927958735</v>
      </c>
      <c r="N37" s="32">
        <f t="shared" ref="N37" si="62">+M37/100</f>
        <v>1.0010997927958736</v>
      </c>
      <c r="O37" s="33">
        <f>COUNT($B$20:B37)/12</f>
        <v>1.5</v>
      </c>
      <c r="P37" s="32">
        <f t="shared" ref="P37" si="63">-1+(N37^(1/O37))</f>
        <v>7.3306086909896706E-4</v>
      </c>
      <c r="Q37" s="41">
        <f t="shared" ref="Q37" si="64">+(J37-P37)/K37</f>
        <v>3.0449071064755673</v>
      </c>
    </row>
    <row r="38" spans="2:17">
      <c r="B38" s="29">
        <v>42582</v>
      </c>
      <c r="C38" s="30">
        <f t="shared" si="48"/>
        <v>42390647.480000004</v>
      </c>
      <c r="D38" s="31">
        <v>44839820.329999998</v>
      </c>
      <c r="E38" s="31">
        <v>1489057.82</v>
      </c>
      <c r="F38" s="32">
        <v>8.3840000000000008E-3</v>
      </c>
      <c r="G38" s="43">
        <f t="shared" ref="G38:G43" si="65">+F38+1</f>
        <v>1.0083839999999999</v>
      </c>
      <c r="H38" s="47">
        <f>+G38*G37*G36*G35*G34*G33*G32*G31*G30*G29*G28*G27*G26*G25*G24*G23*G22*G21</f>
        <v>1.1686785556380539</v>
      </c>
      <c r="I38" s="39">
        <f t="shared" ref="I38" si="66">+H38-1</f>
        <v>0.1686785556380539</v>
      </c>
      <c r="J38" s="60">
        <f t="shared" ref="J38" si="67">+(1+I38)^(365/(B38-$B$20))-1</f>
        <v>0.10961240270639072</v>
      </c>
      <c r="K38" s="32">
        <f>STDEV($F$21:F38)*(12^0.5)</f>
        <v>3.4812850100086376E-2</v>
      </c>
      <c r="L38" s="40">
        <v>1.7799999999999999E-3</v>
      </c>
      <c r="M38" s="33">
        <f t="shared" ref="M38" si="68">+M37*(1+(L38*(B38-B37)/365))</f>
        <v>100.12511371426308</v>
      </c>
      <c r="N38" s="32">
        <f t="shared" ref="N38" si="69">+M38/100</f>
        <v>1.0012511371426307</v>
      </c>
      <c r="O38" s="33">
        <f>COUNT($B$20:B38)/12</f>
        <v>1.5833333333333333</v>
      </c>
      <c r="P38" s="32">
        <f t="shared" ref="P38" si="70">-1+(N38^(1/O38))</f>
        <v>7.9000986581090338E-4</v>
      </c>
      <c r="Q38" s="41">
        <f t="shared" ref="Q38" si="71">+(J38-P38)/K38</f>
        <v>3.1259259878957688</v>
      </c>
    </row>
    <row r="39" spans="2:17">
      <c r="B39" s="29">
        <v>42613</v>
      </c>
      <c r="C39" s="30">
        <f t="shared" si="48"/>
        <v>42390647.480000004</v>
      </c>
      <c r="D39" s="31">
        <v>44872090.090000004</v>
      </c>
      <c r="E39" s="31">
        <v>193503.8</v>
      </c>
      <c r="F39" s="32">
        <v>5.0568999999999996E-3</v>
      </c>
      <c r="G39" s="43">
        <f t="shared" si="65"/>
        <v>1.0050569</v>
      </c>
      <c r="H39" s="47">
        <f>+G39*G38*G37*G36*G35*G34*G33*G32*G31*G30*G29*G28*G27*G26*G25*G24*G23*G22*G21</f>
        <v>1.1745884462260601</v>
      </c>
      <c r="I39" s="39">
        <f t="shared" ref="I39" si="72">+H39-1</f>
        <v>0.17458844622606007</v>
      </c>
      <c r="J39" s="60">
        <f t="shared" ref="J39" si="73">+(1+I39)^(365/(B39-$B$20))-1</f>
        <v>0.10696015496136635</v>
      </c>
      <c r="K39" s="32">
        <f>STDEV($F$21:F39)*(12^0.5)</f>
        <v>3.3958678339846865E-2</v>
      </c>
      <c r="L39" s="40">
        <v>2.6870000000000002E-3</v>
      </c>
      <c r="M39" s="33">
        <f t="shared" ref="M39" si="74">+M38*(1+(L39*(B39-B38)/365))</f>
        <v>100.14796336247419</v>
      </c>
      <c r="N39" s="32">
        <f t="shared" ref="N39" si="75">+M39/100</f>
        <v>1.0014796336247418</v>
      </c>
      <c r="O39" s="33">
        <f>COUNT($B$20:B39)/12</f>
        <v>1.6666666666666667</v>
      </c>
      <c r="P39" s="32">
        <f t="shared" ref="P39" si="76">-1+(N39^(1/O39))</f>
        <v>8.8751763821015572E-4</v>
      </c>
      <c r="Q39" s="41">
        <f t="shared" ref="Q39" si="77">+(J39-P39)/K39</f>
        <v>3.1235796711997281</v>
      </c>
    </row>
    <row r="40" spans="2:17">
      <c r="B40" s="29">
        <v>42643</v>
      </c>
      <c r="C40" s="30">
        <f t="shared" si="48"/>
        <v>42390647.480000004</v>
      </c>
      <c r="D40" s="31">
        <v>45095983.32</v>
      </c>
      <c r="E40" s="31">
        <v>0</v>
      </c>
      <c r="F40" s="32">
        <v>4.9896000000000003E-3</v>
      </c>
      <c r="G40" s="43">
        <f t="shared" si="65"/>
        <v>1.0049896</v>
      </c>
      <c r="H40" s="47">
        <f>+G40*G39*G38*G37*G36*G35*G34*G33*G32*G31*G30*G29*G28*G27*G26*G25*G24*G23*G22*G21</f>
        <v>1.1804491727373505</v>
      </c>
      <c r="I40" s="39">
        <f t="shared" ref="I40" si="78">+H40-1</f>
        <v>0.18044917273735051</v>
      </c>
      <c r="J40" s="60">
        <f t="shared" ref="J40" si="79">+(1+I40)^(365/(B40-$B$20))-1</f>
        <v>0.10471963995086009</v>
      </c>
      <c r="K40" s="32">
        <f>STDEV($F$21:F40)*(12^0.5)</f>
        <v>3.3167814273875329E-2</v>
      </c>
      <c r="L40" s="40">
        <v>1.825E-3</v>
      </c>
      <c r="M40" s="33">
        <f t="shared" ref="M40" si="80">+M39*(1+(L40*(B40-B39)/365))</f>
        <v>100.16298555697857</v>
      </c>
      <c r="N40" s="32">
        <f t="shared" ref="N40" si="81">+M40/100</f>
        <v>1.0016298555697858</v>
      </c>
      <c r="O40" s="33">
        <f>COUNT($B$20:B40)/12</f>
        <v>1.75</v>
      </c>
      <c r="P40" s="32">
        <f t="shared" ref="P40" si="82">-1+(N40^(1/O40))</f>
        <v>9.310210150403897E-4</v>
      </c>
      <c r="Q40" s="41">
        <f t="shared" ref="Q40" si="83">+(J40-P40)/K40</f>
        <v>3.1291968195073059</v>
      </c>
    </row>
    <row r="41" spans="2:17">
      <c r="B41" s="29">
        <v>42674</v>
      </c>
      <c r="C41" s="30">
        <f t="shared" si="48"/>
        <v>42390647.480000004</v>
      </c>
      <c r="D41" s="31">
        <v>44769409.630000003</v>
      </c>
      <c r="E41" s="31">
        <v>691085</v>
      </c>
      <c r="F41" s="32">
        <v>8.2088000000000005E-3</v>
      </c>
      <c r="G41" s="43">
        <f t="shared" si="65"/>
        <v>1.0082088</v>
      </c>
      <c r="H41" s="47">
        <f>+G41*G40*G39*G38*G37*G36*G35*G34*G33*G32*G31*G30*G29*G28*G27*G26*G25*G24*G23*G22*G21</f>
        <v>1.1901392439065166</v>
      </c>
      <c r="I41" s="39">
        <f t="shared" ref="I41" si="84">+H41-1</f>
        <v>0.1901392439065166</v>
      </c>
      <c r="J41" s="60">
        <f t="shared" ref="J41" si="85">+(1+I41)^(365/(B41-$B$20))-1</f>
        <v>0.10454096669737112</v>
      </c>
      <c r="K41" s="32">
        <f>STDEV($F$21:F41)*(12^0.5)</f>
        <v>3.2328222119379656E-2</v>
      </c>
      <c r="L41" s="40">
        <v>1.622E-3</v>
      </c>
      <c r="M41" s="33">
        <f t="shared" ref="M41" si="86">+M40*(1+(L41*(B41-B40)/365))</f>
        <v>100.17678390010124</v>
      </c>
      <c r="N41" s="32">
        <f t="shared" ref="N41" si="87">+M41/100</f>
        <v>1.0017678390010125</v>
      </c>
      <c r="O41" s="33">
        <f>COUNT($B$20:B41)/12</f>
        <v>1.8333333333333333</v>
      </c>
      <c r="P41" s="32">
        <f t="shared" ref="P41" si="88">-1+(N41^(1/O41))</f>
        <v>9.6388872217945121E-4</v>
      </c>
      <c r="Q41" s="41">
        <f t="shared" ref="Q41" si="89">+(J41-P41)/K41</f>
        <v>3.2039212547076872</v>
      </c>
    </row>
    <row r="42" spans="2:17">
      <c r="B42" s="29">
        <v>42704</v>
      </c>
      <c r="C42" s="30">
        <f t="shared" si="48"/>
        <v>42390647.480000004</v>
      </c>
      <c r="D42" s="31">
        <v>44572011.770000003</v>
      </c>
      <c r="E42" s="31">
        <v>304077.40000000002</v>
      </c>
      <c r="F42" s="32">
        <v>2.3990000000000001E-3</v>
      </c>
      <c r="G42" s="43">
        <f t="shared" si="65"/>
        <v>1.002399</v>
      </c>
      <c r="H42" s="47">
        <f>+G42*G41*G40*G39*G38*G37*G36*G35*G34*G33*G32*G31*G30*G29*G28*G27*G26*G25*G24*G23*G22*G21</f>
        <v>1.1929943879526477</v>
      </c>
      <c r="I42" s="39">
        <f t="shared" ref="I42" si="90">+H42-1</f>
        <v>0.19299438795264767</v>
      </c>
      <c r="J42" s="60">
        <f t="shared" ref="J42" si="91">+(1+I42)^(365/(B42-$B$20))-1</f>
        <v>0.10106555899909231</v>
      </c>
      <c r="K42" s="32">
        <f>STDEV($F$21:F42)*(12^0.5)</f>
        <v>3.1855244750588409E-2</v>
      </c>
      <c r="L42" s="40">
        <v>3.5999999999999999E-3</v>
      </c>
      <c r="M42" s="33">
        <f t="shared" ref="M42" si="92">+M41*(1+(L42*(B42-B41)/365))</f>
        <v>100.20642524985799</v>
      </c>
      <c r="N42" s="32">
        <f t="shared" ref="N42" si="93">+M42/100</f>
        <v>1.0020642524985799</v>
      </c>
      <c r="O42" s="33">
        <f>COUNT($B$20:B42)/12</f>
        <v>1.9166666666666667</v>
      </c>
      <c r="P42" s="32">
        <f t="shared" ref="P42" si="94">-1+(N42^(1/O42))</f>
        <v>1.0764702082668443E-3</v>
      </c>
      <c r="Q42" s="41">
        <f t="shared" ref="Q42" si="95">+(J42-P42)/K42</f>
        <v>3.1388579674616541</v>
      </c>
    </row>
    <row r="43" spans="2:17">
      <c r="B43" s="29">
        <v>42735</v>
      </c>
      <c r="C43" s="30">
        <f>+C42+3176687.4</f>
        <v>45567334.880000003</v>
      </c>
      <c r="D43" s="31">
        <v>47946730.310000002</v>
      </c>
      <c r="E43" s="31">
        <v>92144.67</v>
      </c>
      <c r="F43" s="32">
        <v>6.0889000000000004E-3</v>
      </c>
      <c r="G43" s="43">
        <f t="shared" si="65"/>
        <v>1.0060889</v>
      </c>
      <c r="H43" s="47">
        <f>+G43*G42*G41*G40*G39*G38*G37*G36*G35*G34*G33*G32*G31*G30*G29*G28*G27*G26*G25*G24*G23*G22*G21</f>
        <v>1.2002584114814534</v>
      </c>
      <c r="I43" s="39">
        <f t="shared" ref="I43:I48" si="96">+H43-1</f>
        <v>0.2002584114814534</v>
      </c>
      <c r="J43" s="60">
        <f t="shared" ref="J43" si="97">+(1+I43)^(365/(B43-$B$20))-1</f>
        <v>9.9856748571842457E-2</v>
      </c>
      <c r="K43" s="32">
        <f>STDEV($F$21:F43)*(12^0.5)</f>
        <v>3.1156495095691971E-2</v>
      </c>
      <c r="L43" s="40">
        <v>4.1580000000000002E-3</v>
      </c>
      <c r="M43" s="33">
        <f t="shared" ref="M43" si="98">+M42*(1+(L43*(B43-B42)/365))</f>
        <v>100.24181266849321</v>
      </c>
      <c r="N43" s="32">
        <f t="shared" ref="N43" si="99">+M43/100</f>
        <v>1.0024181266849321</v>
      </c>
      <c r="O43" s="33">
        <f>COUNT($B$20:B43)/12</f>
        <v>2</v>
      </c>
      <c r="P43" s="32">
        <f t="shared" ref="P43" si="100">-1+(N43^(1/O43))</f>
        <v>1.2083333077748115E-3</v>
      </c>
      <c r="Q43" s="41">
        <f t="shared" ref="Q43" si="101">+(J43-P43)/K43</f>
        <v>3.1662231249402577</v>
      </c>
    </row>
    <row r="44" spans="2:17">
      <c r="B44" s="29">
        <v>42766</v>
      </c>
      <c r="C44" s="30">
        <f>+C43</f>
        <v>45567334.880000003</v>
      </c>
      <c r="D44" s="31">
        <v>48422228.210000001</v>
      </c>
      <c r="E44" s="31">
        <v>0</v>
      </c>
      <c r="F44" s="32">
        <v>9.9171999999999993E-3</v>
      </c>
      <c r="G44" s="43">
        <f>+F44+1</f>
        <v>1.0099172000000001</v>
      </c>
      <c r="H44" s="47">
        <f>+G44*G43*G42*G41*G40*G39*G38*G37*G36*G35*G34*G33*G32*G31*G30*G29*G28*G27*G26*G25*G24*G23*G22*G21</f>
        <v>1.2121616141997971</v>
      </c>
      <c r="I44" s="39">
        <f t="shared" si="96"/>
        <v>0.21216161419979707</v>
      </c>
      <c r="J44" s="60">
        <f t="shared" ref="J44" si="102">+(1+I44)^(365/(B44-$B$20))-1</f>
        <v>0.10083722923003124</v>
      </c>
      <c r="K44" s="32">
        <f>STDEV($F$21:F44)*(12^0.5)</f>
        <v>3.0501605749769862E-2</v>
      </c>
      <c r="L44" s="40">
        <v>4.614E-3</v>
      </c>
      <c r="M44" s="33">
        <f t="shared" ref="M44" si="103">+M43*(1+(L44*(B44-B43)/365))</f>
        <v>100.28109482584452</v>
      </c>
      <c r="N44" s="32">
        <f t="shared" ref="N44" si="104">+M44/100</f>
        <v>1.0028109482584453</v>
      </c>
      <c r="O44" s="33">
        <f>COUNT($B$20:B44)/12</f>
        <v>2.0833333333333335</v>
      </c>
      <c r="P44" s="32">
        <f t="shared" ref="P44" si="105">-1+(N44^(1/O44))</f>
        <v>1.3482704675087387E-3</v>
      </c>
      <c r="Q44" s="41">
        <f t="shared" ref="Q44" si="106">+(J44-P44)/K44</f>
        <v>3.2617613504912986</v>
      </c>
    </row>
    <row r="45" spans="2:17">
      <c r="B45" s="29">
        <v>42794</v>
      </c>
      <c r="C45" s="30">
        <f>+C44+4607233</f>
        <v>50174567.880000003</v>
      </c>
      <c r="D45" s="31">
        <v>52778102.560000002</v>
      </c>
      <c r="E45" s="31">
        <v>506795.67</v>
      </c>
      <c r="F45" s="32">
        <v>4.8634000000000004E-3</v>
      </c>
      <c r="G45" s="43">
        <f>+F45+1</f>
        <v>1.0048634000000001</v>
      </c>
      <c r="H45" s="47">
        <f>+G45*G44*G43*G42*G41*G40*G39*G38*G37*G36*G35*G34*G33*G32*G31*G30*G29*G28*G27*G26*G25*G24*G23*G22*G21</f>
        <v>1.218056840994296</v>
      </c>
      <c r="I45" s="39">
        <f t="shared" si="96"/>
        <v>0.21805684099429601</v>
      </c>
      <c r="J45" s="60">
        <f t="shared" ref="J45" si="107">+(1+I45)^(365/(B45-$B$20))-1</f>
        <v>9.9504920940221675E-2</v>
      </c>
      <c r="K45" s="32">
        <f>STDEV($F$21:F45)*(12^0.5)</f>
        <v>2.9942733091585176E-2</v>
      </c>
      <c r="L45" s="40">
        <v>4.2589999999999998E-3</v>
      </c>
      <c r="M45" s="33">
        <f t="shared" ref="M45" si="108">+M44*(1+(L45*(B45-B44)/365))</f>
        <v>100.31385844535184</v>
      </c>
      <c r="N45" s="32">
        <f t="shared" ref="N45" si="109">+M45/100</f>
        <v>1.0031385844535183</v>
      </c>
      <c r="O45" s="33">
        <f>COUNT($B$20:B45)/12</f>
        <v>2.1666666666666665</v>
      </c>
      <c r="P45" s="32">
        <f t="shared" ref="P45" si="110">-1+(N45^(1/O45))</f>
        <v>1.4473553533038697E-3</v>
      </c>
      <c r="Q45" s="41">
        <f t="shared" ref="Q45" si="111">+(J45-P45)/K45</f>
        <v>3.2748368456209827</v>
      </c>
    </row>
    <row r="46" spans="2:17">
      <c r="B46" s="29">
        <v>42825</v>
      </c>
      <c r="C46" s="30">
        <f>+C45</f>
        <v>50174567.880000003</v>
      </c>
      <c r="D46" s="31">
        <v>52732402.159999996</v>
      </c>
      <c r="E46" s="31">
        <v>276434</v>
      </c>
      <c r="F46" s="32">
        <v>4.3947600000000002E-3</v>
      </c>
      <c r="G46" s="43">
        <f>+F46+1</f>
        <v>1.0043947600000001</v>
      </c>
      <c r="H46" s="47">
        <f>+G46*G45*G44*G43*G42*G41*G40*G39*G38*G37*G36*G35*G34*G33*G32*G31*G30*G29*G28*G27*G26*G25*G24*G23*G22*G21</f>
        <v>1.2234099084768244</v>
      </c>
      <c r="I46" s="39">
        <f t="shared" si="96"/>
        <v>0.2234099084768244</v>
      </c>
      <c r="J46" s="60">
        <f t="shared" ref="J46" si="112">+(1+I46)^(365/(B46-$B$20))-1</f>
        <v>9.7641397411755149E-2</v>
      </c>
      <c r="K46" s="32">
        <f>STDEV($F$21:F46)*(12^0.5)</f>
        <v>2.9437400070465816E-2</v>
      </c>
      <c r="L46" s="40">
        <v>7.2529999999999999E-3</v>
      </c>
      <c r="M46" s="33">
        <f t="shared" ref="M46" si="113">+M45*(1+(L46*(B46-B45)/365))</f>
        <v>100.37565260665166</v>
      </c>
      <c r="N46" s="32">
        <f t="shared" ref="N46" si="114">+M46/100</f>
        <v>1.0037565260665167</v>
      </c>
      <c r="O46" s="33">
        <f>COUNT($B$20:B46)/12</f>
        <v>2.25</v>
      </c>
      <c r="P46" s="32">
        <f t="shared" ref="P46" si="115">-1+(N46^(1/O46))</f>
        <v>1.6678283669548932E-3</v>
      </c>
      <c r="Q46" s="41">
        <f t="shared" ref="Q46" si="116">+(J46-P46)/K46</f>
        <v>3.2602596973599365</v>
      </c>
    </row>
    <row r="47" spans="2:17">
      <c r="B47" s="29">
        <v>42855</v>
      </c>
      <c r="C47" s="30">
        <f>+C46+921447</f>
        <v>51096014.880000003</v>
      </c>
      <c r="D47" s="31">
        <v>53432149.549999997</v>
      </c>
      <c r="E47" s="31">
        <v>552868</v>
      </c>
      <c r="F47" s="32">
        <v>6.2365800000000002E-3</v>
      </c>
      <c r="G47" s="43">
        <f>+F47+1</f>
        <v>1.0062365799999999</v>
      </c>
      <c r="H47" s="47">
        <f>+G47*G46*G45*G44*G43*G42*G41*G40*G39*G38*G37*G36*G35*G34*G33*G32*G31*G30*G29*G28*G27*G26*G25*G24*G23*G22*G21</f>
        <v>1.2310398022438327</v>
      </c>
      <c r="I47" s="39">
        <f t="shared" si="96"/>
        <v>0.23103980224383269</v>
      </c>
      <c r="J47" s="60">
        <f t="shared" ref="J47" si="117">+(1+I47)^(365/(B47-$B$20))-1</f>
        <v>9.6938023950252639E-2</v>
      </c>
      <c r="K47" s="32">
        <f>STDEV($F$21:F47)*(12^0.5)</f>
        <v>2.8885035264111472E-2</v>
      </c>
      <c r="L47" s="40">
        <v>6.5929999999999999E-3</v>
      </c>
      <c r="M47" s="33">
        <f t="shared" ref="M47" si="118">+M46*(1+(L47*(B47-B46)/365))</f>
        <v>100.43004521029295</v>
      </c>
      <c r="N47" s="32">
        <f t="shared" ref="N47" si="119">+M47/100</f>
        <v>1.0043004521029295</v>
      </c>
      <c r="O47" s="33">
        <f>COUNT($B$20:B47)/12</f>
        <v>2.3333333333333335</v>
      </c>
      <c r="P47" s="32">
        <f t="shared" ref="P47" si="120">-1+(N47^(1/O47))</f>
        <v>1.8407914306293183E-3</v>
      </c>
      <c r="Q47" s="41">
        <f t="shared" ref="Q47" si="121">+(J47-P47)/K47</f>
        <v>3.2922664504335195</v>
      </c>
    </row>
    <row r="48" spans="2:17">
      <c r="B48" s="29">
        <v>42886</v>
      </c>
      <c r="C48" s="30">
        <f>+C47</f>
        <v>51096014.880000003</v>
      </c>
      <c r="D48" s="31">
        <v>53527686.140000001</v>
      </c>
      <c r="E48" s="31">
        <v>368578.67</v>
      </c>
      <c r="F48" s="32">
        <v>8.5863999999999992E-3</v>
      </c>
      <c r="G48" s="43">
        <f>+F48+1</f>
        <v>1.0085864</v>
      </c>
      <c r="H48" s="47">
        <f>+G48*G47*G46*G45*G44*G43*G42*G41*G40*G39*G38*G37*G36*G35*G34*G33*G32*G31*G30*G29*G28*G27*G26*G25*G24*G23*G22*G21</f>
        <v>1.2416100024018191</v>
      </c>
      <c r="I48" s="39">
        <f t="shared" si="96"/>
        <v>0.24161000240181907</v>
      </c>
      <c r="J48" s="60">
        <f t="shared" ref="J48" si="122">+(1+I48)^(365/(B48-$B$20))-1</f>
        <v>9.7263485510509895E-2</v>
      </c>
      <c r="K48" s="32">
        <f>STDEV($F$21:F48)*(12^0.5)</f>
        <v>2.8350228810126908E-2</v>
      </c>
      <c r="L48" s="48">
        <v>8.5730000000000008E-3</v>
      </c>
      <c r="M48" s="33">
        <f t="shared" ref="M48" si="123">+M47*(1+(L48*(B48-B47)/365))</f>
        <v>100.50317011469082</v>
      </c>
      <c r="N48" s="32">
        <f t="shared" ref="N48" si="124">+M48/100</f>
        <v>1.0050317011469081</v>
      </c>
      <c r="O48" s="33">
        <f>COUNT($B$20:B48)/12</f>
        <v>2.4166666666666665</v>
      </c>
      <c r="P48" s="32">
        <f t="shared" ref="P48" si="125">-1+(N48^(1/O48))</f>
        <v>2.0790207010663586E-3</v>
      </c>
      <c r="Q48" s="41">
        <f t="shared" ref="Q48" si="126">+(J48-P48)/K48</f>
        <v>3.3574496152017987</v>
      </c>
    </row>
    <row r="49" spans="2:17" ht="3" customHeight="1">
      <c r="B49" s="29"/>
      <c r="C49" s="30"/>
      <c r="D49" s="31"/>
      <c r="E49" s="31"/>
      <c r="F49" s="32"/>
      <c r="G49" s="32"/>
      <c r="H49" s="32"/>
      <c r="I49" s="39"/>
      <c r="J49" s="60"/>
      <c r="K49" s="32"/>
      <c r="L49" s="32"/>
      <c r="M49" s="32"/>
      <c r="N49" s="32"/>
      <c r="O49" s="32"/>
      <c r="P49" s="32"/>
      <c r="Q49" s="39"/>
    </row>
    <row r="50" spans="2:17">
      <c r="B50" s="35" t="s">
        <v>13</v>
      </c>
      <c r="C50" s="36">
        <f>C48</f>
        <v>51096014.880000003</v>
      </c>
      <c r="D50" s="37">
        <f>D48</f>
        <v>53527686.140000001</v>
      </c>
      <c r="E50" s="37">
        <f>+SUM(E20:E48)</f>
        <v>7168855.0899999999</v>
      </c>
      <c r="F50" s="38">
        <f>F48</f>
        <v>8.5863999999999992E-3</v>
      </c>
      <c r="G50" s="38"/>
      <c r="H50" s="38"/>
      <c r="I50" s="57">
        <f>I48</f>
        <v>0.24161000240181907</v>
      </c>
      <c r="J50" s="61">
        <f>J48</f>
        <v>9.7263485510509895E-2</v>
      </c>
      <c r="K50" s="38">
        <f>K48</f>
        <v>2.8350228810126908E-2</v>
      </c>
      <c r="L50" s="38"/>
      <c r="M50" s="38"/>
      <c r="N50" s="38"/>
      <c r="O50" s="38"/>
      <c r="P50" s="38"/>
      <c r="Q50" s="42">
        <f>Q48</f>
        <v>3.3574496152017987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2017-07-14T20:37:19Z</dcterms:modified>
</cp:coreProperties>
</file>