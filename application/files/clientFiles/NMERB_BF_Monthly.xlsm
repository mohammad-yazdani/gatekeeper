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J56" i="11" l="1"/>
  <c r="D56" i="11" l="1"/>
  <c r="H54" i="11"/>
  <c r="I54" i="11" s="1"/>
  <c r="J54" i="11" s="1"/>
  <c r="G56" i="11"/>
  <c r="F56" i="11"/>
  <c r="E56" i="11"/>
  <c r="C56" i="11"/>
  <c r="C54" i="11"/>
  <c r="P54" i="11"/>
  <c r="N54" i="11"/>
  <c r="O54" i="11" s="1"/>
  <c r="L54" i="11"/>
  <c r="L56" i="11" s="1"/>
  <c r="K54" i="11" l="1"/>
  <c r="K56" i="11" s="1"/>
  <c r="Q54" i="11"/>
  <c r="R54" i="11" s="1"/>
  <c r="R56" i="11" s="1"/>
  <c r="C53" i="11"/>
  <c r="H53" i="11"/>
  <c r="I53" i="11" s="1"/>
  <c r="J53" i="11" s="1"/>
  <c r="P53" i="11"/>
  <c r="N53" i="11"/>
  <c r="O53" i="11" s="1"/>
  <c r="Q53" i="11" s="1"/>
  <c r="L53" i="11"/>
  <c r="K53" i="11" l="1"/>
  <c r="Q52" i="11"/>
  <c r="P52" i="11"/>
  <c r="C51" i="11"/>
  <c r="H52" i="11"/>
  <c r="C52" i="11"/>
  <c r="L52" i="11"/>
  <c r="R53" i="11" l="1"/>
  <c r="H51" i="11"/>
  <c r="P51" i="11"/>
  <c r="L51" i="11"/>
  <c r="I51" i="11" l="1"/>
  <c r="J51" i="11" s="1"/>
  <c r="I52" i="11"/>
  <c r="J52" i="11" s="1"/>
  <c r="K51" i="11"/>
  <c r="J50" i="11"/>
  <c r="C50" i="11"/>
  <c r="I50" i="11"/>
  <c r="H50" i="11"/>
  <c r="P50" i="11"/>
  <c r="L50" i="11"/>
  <c r="K52" i="11" l="1"/>
  <c r="K50" i="11"/>
  <c r="I49" i="11"/>
  <c r="J49" i="11"/>
  <c r="K49" i="11" s="1"/>
  <c r="H49" i="11"/>
  <c r="C49" i="11"/>
  <c r="P49" i="11"/>
  <c r="N49" i="11"/>
  <c r="L49" i="11"/>
  <c r="R52" i="11" l="1"/>
  <c r="O49" i="11"/>
  <c r="N50" i="11"/>
  <c r="Q49" i="11"/>
  <c r="R49" i="11" s="1"/>
  <c r="I48" i="11"/>
  <c r="H48" i="11"/>
  <c r="J48" i="11" s="1"/>
  <c r="P48" i="11"/>
  <c r="N48" i="11"/>
  <c r="O48" i="11" s="1"/>
  <c r="Q48" i="11" s="1"/>
  <c r="L48" i="11"/>
  <c r="C48" i="11"/>
  <c r="O50" i="11" l="1"/>
  <c r="Q50" i="11" s="1"/>
  <c r="R50" i="11" s="1"/>
  <c r="N51" i="11"/>
  <c r="K48" i="11"/>
  <c r="H47" i="11"/>
  <c r="I47" i="11" s="1"/>
  <c r="J47" i="11" s="1"/>
  <c r="P47" i="11"/>
  <c r="N47" i="11"/>
  <c r="O47" i="11" s="1"/>
  <c r="Q47" i="11" s="1"/>
  <c r="L47" i="11"/>
  <c r="C47" i="11"/>
  <c r="O51" i="11" l="1"/>
  <c r="Q51" i="11" s="1"/>
  <c r="R51" i="11" s="1"/>
  <c r="N52" i="11"/>
  <c r="O52" i="11" s="1"/>
  <c r="R48" i="11"/>
  <c r="K47" i="11"/>
  <c r="I46" i="11"/>
  <c r="H46" i="11"/>
  <c r="J46" i="11" s="1"/>
  <c r="P46" i="11"/>
  <c r="N46" i="11"/>
  <c r="O46" i="11" s="1"/>
  <c r="L46" i="11"/>
  <c r="C46" i="11"/>
  <c r="R47" i="11" l="1"/>
  <c r="K46" i="11"/>
  <c r="Q46" i="11"/>
  <c r="R46" i="11" s="1"/>
  <c r="I45" i="11"/>
  <c r="H45" i="11" l="1"/>
  <c r="J45" i="11" s="1"/>
  <c r="P45" i="11"/>
  <c r="N45" i="11"/>
  <c r="O45" i="11" s="1"/>
  <c r="L45" i="11"/>
  <c r="C45" i="11"/>
  <c r="K45" i="11" l="1"/>
  <c r="R45" i="11"/>
  <c r="Q45" i="11"/>
  <c r="I44" i="11"/>
  <c r="J44" i="11"/>
  <c r="K44" i="11" s="1"/>
  <c r="P44" i="11"/>
  <c r="N44" i="11"/>
  <c r="O44" i="11" s="1"/>
  <c r="L44" i="11"/>
  <c r="H44" i="11"/>
  <c r="C44" i="11"/>
  <c r="R44" i="11" l="1"/>
  <c r="Q44" i="11"/>
  <c r="H43" i="11"/>
  <c r="I43" i="11" s="1"/>
  <c r="J43" i="11" s="1"/>
  <c r="P43" i="11"/>
  <c r="L43" i="11"/>
  <c r="C43" i="11"/>
  <c r="K42" i="11"/>
  <c r="H42" i="11"/>
  <c r="I42" i="11"/>
  <c r="J42" i="11"/>
  <c r="P42" i="11"/>
  <c r="N42" i="11"/>
  <c r="O42" i="11" s="1"/>
  <c r="Q42" i="11" s="1"/>
  <c r="R42" i="11" s="1"/>
  <c r="L42" i="11"/>
  <c r="C42" i="11"/>
  <c r="I41" i="11"/>
  <c r="H41" i="11"/>
  <c r="P41" i="11"/>
  <c r="L41" i="11"/>
  <c r="J41" i="11"/>
  <c r="K41" i="11"/>
  <c r="C41" i="11"/>
  <c r="I40" i="11"/>
  <c r="C40" i="11"/>
  <c r="H40" i="11"/>
  <c r="J40" i="11"/>
  <c r="P40" i="11"/>
  <c r="L40" i="11"/>
  <c r="K40" i="11"/>
  <c r="F14" i="11"/>
  <c r="G13" i="11" s="1"/>
  <c r="C39" i="11"/>
  <c r="H39" i="11"/>
  <c r="P39" i="11"/>
  <c r="N39" i="11"/>
  <c r="L39" i="11"/>
  <c r="O39" i="11"/>
  <c r="N40" i="11"/>
  <c r="Q39" i="11"/>
  <c r="O40" i="11"/>
  <c r="Q40" i="11"/>
  <c r="R40" i="11"/>
  <c r="N41" i="11"/>
  <c r="O41" i="11"/>
  <c r="Q41" i="11"/>
  <c r="R41" i="11"/>
  <c r="H38" i="11"/>
  <c r="C38" i="11"/>
  <c r="P38" i="11"/>
  <c r="N38" i="11"/>
  <c r="O38" i="11"/>
  <c r="L38" i="11"/>
  <c r="Q38" i="11"/>
  <c r="C37" i="11"/>
  <c r="H37" i="11"/>
  <c r="P37" i="11"/>
  <c r="N37" i="11"/>
  <c r="O37" i="11"/>
  <c r="Q37" i="11"/>
  <c r="L37" i="11"/>
  <c r="C36" i="11"/>
  <c r="H36" i="11"/>
  <c r="P36" i="11"/>
  <c r="N36" i="11"/>
  <c r="O36" i="11"/>
  <c r="L36" i="11"/>
  <c r="Q36" i="11"/>
  <c r="L35" i="11"/>
  <c r="H35" i="11"/>
  <c r="Q35" i="11"/>
  <c r="P35" i="11"/>
  <c r="O35" i="11"/>
  <c r="N35" i="11"/>
  <c r="C35" i="11"/>
  <c r="H34" i="11"/>
  <c r="C34" i="11"/>
  <c r="P34" i="11"/>
  <c r="N34" i="11"/>
  <c r="O34" i="11"/>
  <c r="Q34" i="11"/>
  <c r="L34" i="11"/>
  <c r="C33" i="11"/>
  <c r="P33" i="11"/>
  <c r="N33" i="11"/>
  <c r="O33" i="11"/>
  <c r="L33" i="11"/>
  <c r="H33" i="11"/>
  <c r="Q33" i="11"/>
  <c r="H32" i="11"/>
  <c r="I32" i="11"/>
  <c r="J32" i="11"/>
  <c r="K32" i="11"/>
  <c r="P32" i="11"/>
  <c r="L32" i="11"/>
  <c r="C32" i="11"/>
  <c r="I39" i="11"/>
  <c r="I38" i="11"/>
  <c r="J38" i="11"/>
  <c r="K38" i="11"/>
  <c r="R38" i="11"/>
  <c r="I37" i="11"/>
  <c r="J37" i="11"/>
  <c r="K37" i="11"/>
  <c r="R37" i="11"/>
  <c r="I36" i="11"/>
  <c r="J36" i="11"/>
  <c r="K36" i="11"/>
  <c r="R36" i="11"/>
  <c r="I35" i="11"/>
  <c r="J35" i="11"/>
  <c r="K35" i="11"/>
  <c r="R35" i="11"/>
  <c r="I34" i="11"/>
  <c r="J34" i="11"/>
  <c r="K34" i="11"/>
  <c r="R34" i="11"/>
  <c r="I33" i="11"/>
  <c r="J33" i="11"/>
  <c r="K33" i="11"/>
  <c r="R33" i="11"/>
  <c r="I31" i="11"/>
  <c r="H31" i="11"/>
  <c r="C31" i="11"/>
  <c r="J39" i="11"/>
  <c r="P31" i="11"/>
  <c r="N31" i="11"/>
  <c r="N32" i="11"/>
  <c r="O32" i="11"/>
  <c r="Q32" i="11"/>
  <c r="R32" i="11"/>
  <c r="L31" i="11"/>
  <c r="K39" i="11"/>
  <c r="R39" i="11"/>
  <c r="O31" i="11"/>
  <c r="Q31" i="11"/>
  <c r="J31" i="11"/>
  <c r="I30" i="11"/>
  <c r="H30" i="11"/>
  <c r="C30" i="11"/>
  <c r="J30" i="11"/>
  <c r="P30" i="11"/>
  <c r="N30" i="11"/>
  <c r="O30" i="11"/>
  <c r="Q30" i="11"/>
  <c r="L30" i="11"/>
  <c r="K31" i="11"/>
  <c r="K30" i="11"/>
  <c r="R30" i="11"/>
  <c r="I29" i="11"/>
  <c r="I28" i="11"/>
  <c r="I27" i="11"/>
  <c r="I26" i="11"/>
  <c r="I25" i="11"/>
  <c r="I24" i="11"/>
  <c r="I23" i="11"/>
  <c r="I22" i="11"/>
  <c r="I21" i="11"/>
  <c r="I20" i="11"/>
  <c r="L29" i="11"/>
  <c r="K28" i="11"/>
  <c r="K29" i="11"/>
  <c r="C29" i="11"/>
  <c r="R31" i="11"/>
  <c r="J27" i="11"/>
  <c r="J28" i="11"/>
  <c r="P29" i="11"/>
  <c r="N29" i="11"/>
  <c r="O29" i="11"/>
  <c r="Q29" i="11"/>
  <c r="H29" i="11"/>
  <c r="J29" i="11"/>
  <c r="L28" i="11"/>
  <c r="H28" i="11"/>
  <c r="H22" i="11"/>
  <c r="C21" i="11"/>
  <c r="C22" i="11"/>
  <c r="C23" i="11"/>
  <c r="C24" i="11"/>
  <c r="R29" i="11"/>
  <c r="C25" i="11"/>
  <c r="C26" i="11"/>
  <c r="H23" i="11"/>
  <c r="P28" i="11"/>
  <c r="P27" i="11"/>
  <c r="L27" i="11"/>
  <c r="H27" i="11"/>
  <c r="C27" i="11"/>
  <c r="C28" i="11"/>
  <c r="H20" i="11"/>
  <c r="J20" i="11"/>
  <c r="K20" i="11"/>
  <c r="L21" i="11"/>
  <c r="P26" i="11"/>
  <c r="P25" i="11"/>
  <c r="P24" i="11"/>
  <c r="P23" i="11"/>
  <c r="P22" i="11"/>
  <c r="P21" i="11"/>
  <c r="P20" i="11"/>
  <c r="N21" i="11"/>
  <c r="N22" i="11"/>
  <c r="N23" i="11"/>
  <c r="N24" i="11"/>
  <c r="N25" i="11"/>
  <c r="N26" i="11"/>
  <c r="N27" i="11"/>
  <c r="L24" i="11"/>
  <c r="L23" i="11"/>
  <c r="L22" i="11"/>
  <c r="O27" i="11"/>
  <c r="Q27" i="11"/>
  <c r="N28" i="11"/>
  <c r="O28" i="11"/>
  <c r="Q28" i="11"/>
  <c r="O20" i="11"/>
  <c r="L26" i="11"/>
  <c r="L25" i="11"/>
  <c r="H26" i="11"/>
  <c r="H25" i="11"/>
  <c r="H24" i="11"/>
  <c r="O23" i="11"/>
  <c r="O21" i="11"/>
  <c r="O22" i="11"/>
  <c r="O24" i="11"/>
  <c r="O25" i="11"/>
  <c r="O26" i="11"/>
  <c r="Q25" i="11"/>
  <c r="Q26" i="11"/>
  <c r="Q23" i="11"/>
  <c r="Q24" i="11"/>
  <c r="Q22" i="11"/>
  <c r="Q20" i="11"/>
  <c r="Q21" i="11"/>
  <c r="H21" i="11"/>
  <c r="J23" i="11"/>
  <c r="J22" i="11"/>
  <c r="K22" i="11"/>
  <c r="J21" i="11"/>
  <c r="K21" i="11"/>
  <c r="J24" i="11"/>
  <c r="K24" i="11"/>
  <c r="J26" i="11"/>
  <c r="K26" i="11"/>
  <c r="K27" i="11"/>
  <c r="J25" i="11"/>
  <c r="K25" i="11"/>
  <c r="R27" i="11"/>
  <c r="R24" i="11"/>
  <c r="R25" i="11"/>
  <c r="R22" i="11"/>
  <c r="R21" i="11"/>
  <c r="R28" i="11"/>
  <c r="R26" i="11"/>
  <c r="K23" i="11"/>
  <c r="R23" i="11"/>
  <c r="K43" i="11" l="1"/>
  <c r="N43" i="11"/>
  <c r="O43" i="11" s="1"/>
  <c r="Q43" i="11" s="1"/>
  <c r="R43" i="11" l="1"/>
</calcChain>
</file>

<file path=xl/sharedStrings.xml><?xml version="1.0" encoding="utf-8"?>
<sst xmlns="http://schemas.openxmlformats.org/spreadsheetml/2006/main" count="31" uniqueCount="25">
  <si>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</si>
  <si>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</si>
  <si>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</si>
  <si>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</si>
  <si>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</si>
  <si>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</si>
  <si>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</si>
  <si>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</si>
  <si>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</si>
  <si>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</si>
  <si>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</si>
  <si>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</si>
  <si>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</si>
  <si>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</si>
  <si>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</si>
  <si>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</si>
  <si>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</si>
  <si>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</si>
  <si>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</si>
  <si>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Black Forest LLC</t>
  </si>
  <si>
    <t>Number of Loans Invested</t>
  </si>
  <si>
    <t>Distributions</t>
  </si>
  <si>
    <t>Unhide</t>
  </si>
  <si>
    <t>Returns of Capital</t>
  </si>
  <si>
    <t>New Mexico Educational Retirement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</si>
</sst>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0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4" fillId="49" borderId="0" xfId="0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0</xdr:rowOff>
    </xdr:from>
    <xdr:to>
      <xdr:col>6</xdr:col>
      <xdr:colOff>933450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R58"/>
  <sheetViews>
    <sheetView tabSelected="1" workbookViewId="0">
      <selection activeCell="K5" sqref="K5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85546875" style="3" customWidth="1"/>
    <col min="6" max="6" width="15.42578125" style="3" customWidth="1"/>
    <col min="7" max="7" width="15.140625" style="3" customWidth="1"/>
    <col min="8" max="9" width="19" style="3" hidden="1" customWidth="1"/>
    <col min="10" max="10" width="17.28515625" style="3" customWidth="1"/>
    <col min="11" max="11" width="17.140625" style="3" customWidth="1"/>
    <col min="12" max="17" width="14.85546875" style="3" customWidth="1"/>
    <col min="18" max="18" width="14" style="3" customWidth="1"/>
    <col min="19" max="16384" width="9.140625" style="3"/>
  </cols>
  <sheetData>
    <row r="2" spans="2:18">
      <c r="K2" s="11"/>
      <c r="L2" s="11"/>
      <c r="M2" s="11"/>
      <c r="N2" s="11"/>
      <c r="O2" s="11"/>
      <c r="P2" s="11"/>
      <c r="Q2" s="11"/>
      <c r="R2" s="11"/>
    </row>
    <row r="3" spans="2:18">
      <c r="K3" s="11"/>
      <c r="L3" s="11"/>
      <c r="M3" s="11"/>
      <c r="N3" s="11"/>
      <c r="O3" s="11"/>
      <c r="P3" s="11"/>
      <c r="Q3" s="11"/>
      <c r="R3" s="11"/>
    </row>
    <row r="4" spans="2:18">
      <c r="K4" s="11"/>
      <c r="L4" s="11"/>
      <c r="M4" s="11"/>
      <c r="N4" s="11"/>
      <c r="O4" s="11"/>
      <c r="P4" s="11"/>
      <c r="Q4" s="11"/>
      <c r="R4" s="11"/>
    </row>
    <row r="5" spans="2:18">
      <c r="K5" s="11"/>
      <c r="L5" s="11"/>
      <c r="M5" s="11"/>
      <c r="N5" s="11"/>
      <c r="O5" s="11"/>
      <c r="P5" s="11"/>
      <c r="Q5" s="11"/>
      <c r="R5" s="11"/>
    </row>
    <row r="6" spans="2:18">
      <c r="K6" s="11"/>
      <c r="L6" s="11"/>
      <c r="M6" s="11"/>
      <c r="N6" s="11"/>
      <c r="O6" s="11"/>
      <c r="P6" s="11"/>
      <c r="Q6" s="11"/>
      <c r="R6" s="11"/>
    </row>
    <row r="7" spans="2:18">
      <c r="K7" s="11"/>
      <c r="L7" s="11"/>
      <c r="M7" s="11"/>
      <c r="N7" s="11"/>
      <c r="O7" s="11"/>
      <c r="P7" s="11"/>
      <c r="Q7" s="11"/>
      <c r="R7" s="11"/>
    </row>
    <row r="8" spans="2:18">
      <c r="K8" s="11"/>
      <c r="L8" s="11"/>
      <c r="M8" s="11"/>
      <c r="N8" s="11"/>
      <c r="O8" s="11"/>
      <c r="P8" s="11"/>
      <c r="Q8" s="11"/>
      <c r="R8" s="11"/>
    </row>
    <row r="9" spans="2:18" s="1" customFormat="1">
      <c r="B9" s="5" t="s">
        <v>2</v>
      </c>
      <c r="D9" s="25"/>
      <c r="E9" s="26"/>
      <c r="F9" s="26" t="s">
        <v>19</v>
      </c>
      <c r="H9" s="15"/>
      <c r="I9" s="15"/>
      <c r="K9" s="11"/>
      <c r="L9" s="11"/>
      <c r="M9" s="11"/>
      <c r="N9" s="11"/>
      <c r="O9" s="11"/>
      <c r="P9" s="11"/>
      <c r="Q9" s="11"/>
      <c r="R9" s="11"/>
    </row>
    <row r="10" spans="2:18" s="1" customFormat="1">
      <c r="B10" s="5" t="s">
        <v>3</v>
      </c>
      <c r="D10" s="25"/>
      <c r="E10" s="26"/>
      <c r="F10" s="26" t="s">
        <v>24</v>
      </c>
      <c r="H10" s="15"/>
      <c r="I10" s="15"/>
      <c r="K10" s="11"/>
      <c r="L10" s="11"/>
      <c r="M10" s="11"/>
      <c r="N10" s="11"/>
      <c r="O10" s="11"/>
      <c r="P10" s="11"/>
      <c r="Q10" s="11"/>
      <c r="R10" s="11"/>
    </row>
    <row r="11" spans="2:18" s="1" customFormat="1">
      <c r="B11" s="5" t="s">
        <v>4</v>
      </c>
      <c r="D11" s="25"/>
      <c r="E11" s="27"/>
      <c r="F11" s="27">
        <v>42886</v>
      </c>
      <c r="H11" s="16"/>
      <c r="I11" s="16"/>
    </row>
    <row r="12" spans="2:18" s="1" customFormat="1">
      <c r="B12" s="5" t="s">
        <v>20</v>
      </c>
      <c r="D12" s="25"/>
      <c r="E12" s="28"/>
      <c r="F12" s="28">
        <v>9</v>
      </c>
      <c r="H12" s="16"/>
      <c r="I12" s="16"/>
    </row>
    <row r="13" spans="2:18" s="1" customFormat="1">
      <c r="B13" s="5" t="s">
        <v>12</v>
      </c>
      <c r="D13" s="25"/>
      <c r="E13" s="28"/>
      <c r="F13" s="28">
        <v>150000000</v>
      </c>
      <c r="G13" s="48">
        <f>F13-F14</f>
        <v>127739575.93000001</v>
      </c>
      <c r="H13" s="17"/>
      <c r="I13" s="17"/>
    </row>
    <row r="14" spans="2:18" s="1" customFormat="1">
      <c r="B14" s="5" t="s">
        <v>5</v>
      </c>
      <c r="D14" s="25"/>
      <c r="E14" s="28"/>
      <c r="F14" s="28">
        <f>F13-C56</f>
        <v>22260424.069999993</v>
      </c>
      <c r="G14" s="46" t="s">
        <v>22</v>
      </c>
      <c r="H14" s="17"/>
      <c r="I14" s="17"/>
    </row>
    <row r="15" spans="2:18" s="1" customFormat="1">
      <c r="B15" s="5"/>
      <c r="D15" s="6"/>
      <c r="G15" s="7"/>
      <c r="H15" s="7"/>
      <c r="I15" s="7"/>
    </row>
    <row r="16" spans="2:18" s="1" customFormat="1">
      <c r="B16" s="5"/>
      <c r="D16" s="6"/>
      <c r="G16" s="7"/>
      <c r="H16" s="7"/>
      <c r="I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23</v>
      </c>
      <c r="F18" s="23" t="s">
        <v>21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29">
        <v>41851</v>
      </c>
      <c r="C20" s="30">
        <v>14463000</v>
      </c>
      <c r="D20" s="31">
        <v>14423229.5</v>
      </c>
      <c r="E20" s="31">
        <v>0</v>
      </c>
      <c r="F20" s="31">
        <v>0</v>
      </c>
      <c r="G20" s="32">
        <v>-2.7498000000000002E-3</v>
      </c>
      <c r="H20" s="33">
        <f>+G20+1</f>
        <v>0.99725019999999998</v>
      </c>
      <c r="I20" s="47">
        <f>+H20</f>
        <v>0.99725019999999998</v>
      </c>
      <c r="J20" s="39">
        <f t="shared" ref="J20:J26" si="0">+I20-1</f>
        <v>-2.7498000000000244E-3</v>
      </c>
      <c r="K20" s="41">
        <f>+(1+J20)^(365/(B20-$B$19))-1</f>
        <v>-7.4399227489341802E-2</v>
      </c>
      <c r="L20" s="32"/>
      <c r="M20" s="43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1">-1+(O20^(1/P20))</f>
        <v>0</v>
      </c>
      <c r="R20" s="39"/>
    </row>
    <row r="21" spans="2:18">
      <c r="B21" s="29">
        <v>41882</v>
      </c>
      <c r="C21" s="30">
        <f>+C20</f>
        <v>14463000</v>
      </c>
      <c r="D21" s="31">
        <v>14517969.359999999</v>
      </c>
      <c r="E21" s="31">
        <v>0</v>
      </c>
      <c r="F21" s="31">
        <v>0</v>
      </c>
      <c r="G21" s="32">
        <v>6.5685600000000002E-3</v>
      </c>
      <c r="H21" s="33">
        <f t="shared" ref="H21:H25" si="2">+G21+1</f>
        <v>1.0065685600000001</v>
      </c>
      <c r="I21" s="47">
        <f>+H21*H20</f>
        <v>1.0038006977737119</v>
      </c>
      <c r="J21" s="39">
        <f t="shared" si="0"/>
        <v>3.8006977737119474E-3</v>
      </c>
      <c r="K21" s="41">
        <f>+(1+J21)^(365/(B21-$B$19))-1</f>
        <v>3.1969127939726283E-2</v>
      </c>
      <c r="L21" s="32">
        <f>STDEV($G$20:G21)*(12^0.5)</f>
        <v>2.2825227239561055E-2</v>
      </c>
      <c r="M21" s="43">
        <v>1.01E-4</v>
      </c>
      <c r="N21" s="33">
        <f t="shared" ref="N21:N26" si="3">+N20*(1+(M21*(B21-B20)/365))</f>
        <v>100.00085780821917</v>
      </c>
      <c r="O21" s="32">
        <f t="shared" ref="O21:O25" si="4">+N21/100</f>
        <v>1.0000085780821917</v>
      </c>
      <c r="P21" s="33">
        <f>COUNT($B$19:B21)/12</f>
        <v>0.25</v>
      </c>
      <c r="Q21" s="32">
        <f t="shared" si="1"/>
        <v>3.431277027043933E-5</v>
      </c>
      <c r="R21" s="44">
        <f t="shared" ref="R21:R26" si="5">+(K21-Q21)/L21</f>
        <v>1.3991017409941007</v>
      </c>
    </row>
    <row r="22" spans="2:18">
      <c r="B22" s="29">
        <v>41912</v>
      </c>
      <c r="C22" s="30">
        <f>+C21+3030000+19470000</f>
        <v>36963000</v>
      </c>
      <c r="D22" s="31">
        <v>36644671.25</v>
      </c>
      <c r="E22" s="31">
        <v>0</v>
      </c>
      <c r="F22" s="31">
        <v>0</v>
      </c>
      <c r="G22" s="32">
        <v>-1.008424E-2</v>
      </c>
      <c r="H22" s="33">
        <f>+G22+1</f>
        <v>0.98991576000000003</v>
      </c>
      <c r="I22" s="47">
        <f>+H22*H21*H20</f>
        <v>0.9936781306251945</v>
      </c>
      <c r="J22" s="39">
        <f t="shared" si="0"/>
        <v>-6.3218693748054999E-3</v>
      </c>
      <c r="K22" s="41">
        <f>+(1+J22)^(365/(B22-$B$19))-1</f>
        <v>-3.0796981678220092E-2</v>
      </c>
      <c r="L22" s="32">
        <f>STDEV($G$20:G22)*(12^0.5)</f>
        <v>2.8911644403015198E-2</v>
      </c>
      <c r="M22" s="43">
        <v>1.01E-4</v>
      </c>
      <c r="N22" s="33">
        <f t="shared" si="3"/>
        <v>100.00168795232646</v>
      </c>
      <c r="O22" s="32">
        <f t="shared" si="4"/>
        <v>1.0000168795232647</v>
      </c>
      <c r="P22" s="33">
        <f>COUNT($B$19:B22)/12</f>
        <v>0.33333333333333331</v>
      </c>
      <c r="Q22" s="32">
        <f t="shared" si="1"/>
        <v>5.0639424553855505E-5</v>
      </c>
      <c r="R22" s="44">
        <f t="shared" si="5"/>
        <v>-1.0669618328439612</v>
      </c>
    </row>
    <row r="23" spans="2:18">
      <c r="B23" s="29">
        <v>41943</v>
      </c>
      <c r="C23" s="30">
        <f>+C22</f>
        <v>36963000</v>
      </c>
      <c r="D23" s="31">
        <v>36516788.090000004</v>
      </c>
      <c r="E23" s="31">
        <v>0</v>
      </c>
      <c r="F23" s="31">
        <v>230348.77</v>
      </c>
      <c r="G23" s="32">
        <v>2.8138821999999998E-3</v>
      </c>
      <c r="H23" s="33">
        <f>+G23+1</f>
        <v>1.0028138821999999</v>
      </c>
      <c r="I23" s="47">
        <f>+H23*H22*H21*H20</f>
        <v>0.99647422382948991</v>
      </c>
      <c r="J23" s="39">
        <f t="shared" si="0"/>
        <v>-3.5257761705100865E-3</v>
      </c>
      <c r="K23" s="41">
        <f t="shared" ref="K23" si="6">+(1+J23)^(365/(B23-$B$19))-1</f>
        <v>-1.220286068640386E-2</v>
      </c>
      <c r="L23" s="32">
        <f>STDEV($G$20:G23)*(12^0.5)</f>
        <v>2.5086955023153813E-2</v>
      </c>
      <c r="M23" s="43">
        <v>-5.1E-5</v>
      </c>
      <c r="N23" s="33">
        <f t="shared" si="3"/>
        <v>100.00125479433015</v>
      </c>
      <c r="O23" s="32">
        <f t="shared" si="4"/>
        <v>1.0000125479433015</v>
      </c>
      <c r="P23" s="33">
        <f>COUNT($B$19:B23)/12</f>
        <v>0.41666666666666669</v>
      </c>
      <c r="Q23" s="32">
        <f t="shared" si="1"/>
        <v>3.0115328441659983E-5</v>
      </c>
      <c r="R23" s="44">
        <f t="shared" si="5"/>
        <v>-0.48762298985888036</v>
      </c>
    </row>
    <row r="24" spans="2:18">
      <c r="B24" s="29">
        <v>41973</v>
      </c>
      <c r="C24" s="30">
        <f>+C23+4608000</f>
        <v>41571000</v>
      </c>
      <c r="D24" s="31">
        <v>41260419.350000001</v>
      </c>
      <c r="E24" s="31">
        <v>0</v>
      </c>
      <c r="F24" s="31">
        <v>0</v>
      </c>
      <c r="G24" s="32">
        <v>3.2980399999999999E-3</v>
      </c>
      <c r="H24" s="33">
        <f t="shared" si="2"/>
        <v>1.00329804</v>
      </c>
      <c r="I24" s="47">
        <f>+H24*H23*H22*H21*H20</f>
        <v>0.99976063567864859</v>
      </c>
      <c r="J24" s="39">
        <f t="shared" si="0"/>
        <v>-2.3936432135140961E-4</v>
      </c>
      <c r="K24" s="41">
        <f t="shared" ref="K24:K27" si="7">+(1+J24)^(365/(B24-$B$19))-1</f>
        <v>-6.4703824967449197E-4</v>
      </c>
      <c r="L24" s="32">
        <f>STDEV($G$20:G24)*(12^0.5)</f>
        <v>2.2662053863365207E-2</v>
      </c>
      <c r="M24" s="43">
        <v>3.5500000000000001E-4</v>
      </c>
      <c r="N24" s="33">
        <f t="shared" si="3"/>
        <v>100.00417263916181</v>
      </c>
      <c r="O24" s="32">
        <f t="shared" si="4"/>
        <v>1.0000417263916181</v>
      </c>
      <c r="P24" s="33">
        <f>COUNT($B$19:B24)/12</f>
        <v>0.5</v>
      </c>
      <c r="Q24" s="32">
        <f t="shared" si="1"/>
        <v>8.3454524328008262E-5</v>
      </c>
      <c r="R24" s="44">
        <f t="shared" si="5"/>
        <v>-3.2234182232855464E-2</v>
      </c>
    </row>
    <row r="25" spans="2:18">
      <c r="B25" s="29">
        <v>42004</v>
      </c>
      <c r="C25" s="30">
        <f>+C24</f>
        <v>41571000</v>
      </c>
      <c r="D25" s="31">
        <v>41212009.619999997</v>
      </c>
      <c r="E25" s="31">
        <v>0</v>
      </c>
      <c r="F25" s="31">
        <v>0</v>
      </c>
      <c r="G25" s="32">
        <v>-1.1732730000000001E-3</v>
      </c>
      <c r="H25" s="33">
        <f t="shared" si="2"/>
        <v>0.99882672699999997</v>
      </c>
      <c r="I25" s="47">
        <f>+H25*H24*H23*H22*H21*H20</f>
        <v>0.99858764351834384</v>
      </c>
      <c r="J25" s="39">
        <f t="shared" si="0"/>
        <v>-1.4123564816561629E-3</v>
      </c>
      <c r="K25" s="41">
        <f t="shared" si="7"/>
        <v>-3.102853884533685E-3</v>
      </c>
      <c r="L25" s="32">
        <f>STDEV($G$20:G25)*(12^0.5)</f>
        <v>2.0333859484446198E-2</v>
      </c>
      <c r="M25" s="43">
        <v>1.01E-4</v>
      </c>
      <c r="N25" s="33">
        <f t="shared" si="3"/>
        <v>100.00503048317422</v>
      </c>
      <c r="O25" s="32">
        <f t="shared" si="4"/>
        <v>1.0000503048317422</v>
      </c>
      <c r="P25" s="33">
        <f>COUNT($B$19:B25)/12</f>
        <v>0.58333333333333337</v>
      </c>
      <c r="Q25" s="32">
        <f t="shared" si="1"/>
        <v>8.6238403740113156E-5</v>
      </c>
      <c r="R25" s="44">
        <f t="shared" si="5"/>
        <v>-0.15683654599429109</v>
      </c>
    </row>
    <row r="26" spans="2:18">
      <c r="B26" s="29">
        <v>42035</v>
      </c>
      <c r="C26" s="30">
        <f>+C25</f>
        <v>41571000</v>
      </c>
      <c r="D26" s="31">
        <v>40951584.689999998</v>
      </c>
      <c r="E26" s="31">
        <v>0</v>
      </c>
      <c r="F26" s="31">
        <v>0</v>
      </c>
      <c r="G26" s="32">
        <v>-6.3191515699999997E-3</v>
      </c>
      <c r="H26" s="33">
        <f t="shared" ref="H26" si="8">+G26+1</f>
        <v>0.99368084843000004</v>
      </c>
      <c r="I26" s="47">
        <f>+H26*H25*H24*H23*H22*H21*H20</f>
        <v>0.99227741684302229</v>
      </c>
      <c r="J26" s="39">
        <f t="shared" si="0"/>
        <v>-7.7225831569777137E-3</v>
      </c>
      <c r="K26" s="41">
        <f t="shared" si="7"/>
        <v>-1.4261205840722102E-2</v>
      </c>
      <c r="L26" s="32">
        <f>STDEV($G$20:G26)*(12^0.5)</f>
        <v>2.0206481425916814E-2</v>
      </c>
      <c r="M26" s="43">
        <v>1.01E-4</v>
      </c>
      <c r="N26" s="33">
        <f t="shared" si="3"/>
        <v>100.00588833454529</v>
      </c>
      <c r="O26" s="32">
        <f t="shared" ref="O26" si="9">+N26/100</f>
        <v>1.0000588833454529</v>
      </c>
      <c r="P26" s="33">
        <f>COUNT($B$19:B26)/12</f>
        <v>0.66666666666666663</v>
      </c>
      <c r="Q26" s="32">
        <f t="shared" ref="Q26" si="10">-1+(O26^(1/P26))</f>
        <v>8.8326318384623903E-5</v>
      </c>
      <c r="R26" s="44">
        <f t="shared" si="5"/>
        <v>-0.71014502013705516</v>
      </c>
    </row>
    <row r="27" spans="2:18">
      <c r="B27" s="29">
        <v>42063</v>
      </c>
      <c r="C27" s="30">
        <f>+C26-9649784</f>
        <v>31921216</v>
      </c>
      <c r="D27" s="31">
        <v>30480972.949999999</v>
      </c>
      <c r="E27" s="31">
        <v>9649784</v>
      </c>
      <c r="F27" s="31">
        <v>549382.68000000005</v>
      </c>
      <c r="G27" s="32">
        <v>-8.8267876000000002E-3</v>
      </c>
      <c r="H27" s="33">
        <f t="shared" ref="H27" si="11">+G27+1</f>
        <v>0.9911732124</v>
      </c>
      <c r="I27" s="47">
        <f>+H27*H26*H25*H24*H23*H22*H21*H20</f>
        <v>0.9835187948442724</v>
      </c>
      <c r="J27" s="39">
        <f t="shared" ref="J27:J32" si="12">+I27-1</f>
        <v>-1.6481205155727596E-2</v>
      </c>
      <c r="K27" s="41">
        <f t="shared" si="7"/>
        <v>-2.6598801732031996E-2</v>
      </c>
      <c r="L27" s="32">
        <f>STDEV($G$20:G27)*(12^0.5)</f>
        <v>2.0969189004975287E-2</v>
      </c>
      <c r="M27" s="43">
        <v>2.03E-4</v>
      </c>
      <c r="N27" s="33">
        <f t="shared" ref="N27" si="13">+N26*(1+(M27*(B27-B26)/365))</f>
        <v>100.00744568651596</v>
      </c>
      <c r="O27" s="32">
        <f t="shared" ref="O27" si="14">+N27/100</f>
        <v>1.0000744568651596</v>
      </c>
      <c r="P27" s="33">
        <f>COUNT($B$19:B27)/12</f>
        <v>0.75</v>
      </c>
      <c r="Q27" s="32">
        <f t="shared" ref="Q27" si="15">-1+(O27^(1/P27))</f>
        <v>9.9277052153512457E-5</v>
      </c>
      <c r="R27" s="44">
        <f t="shared" ref="R27" si="16">+(K27-Q27)/L27</f>
        <v>-1.2732051190845268</v>
      </c>
    </row>
    <row r="28" spans="2:18">
      <c r="B28" s="29">
        <v>42094</v>
      </c>
      <c r="C28" s="30">
        <f>+C27+3455425.02</f>
        <v>35376641.020000003</v>
      </c>
      <c r="D28" s="31">
        <v>34176014.399999999</v>
      </c>
      <c r="E28" s="31">
        <v>0</v>
      </c>
      <c r="F28" s="31">
        <v>0</v>
      </c>
      <c r="G28" s="32">
        <v>7.0607504000000003E-3</v>
      </c>
      <c r="H28" s="33">
        <f t="shared" ref="H28:H33" si="17">+G28+1</f>
        <v>1.0070607504</v>
      </c>
      <c r="I28" s="47">
        <f>+H28*H27*H26*H25*H24*H23*H22*H21*H20</f>
        <v>0.99046317556837649</v>
      </c>
      <c r="J28" s="39">
        <f t="shared" si="12"/>
        <v>-9.536824431623514E-3</v>
      </c>
      <c r="K28" s="41">
        <f t="shared" ref="K28:K33" si="18">+(1+J28)^(365/(B28-$B$19))-1</f>
        <v>-1.3569768015402661E-2</v>
      </c>
      <c r="L28" s="32">
        <f>STDEV($G$20:G28)*(12^0.5)</f>
        <v>2.22629512206656E-2</v>
      </c>
      <c r="M28" s="43">
        <v>1.01E-4</v>
      </c>
      <c r="N28" s="33">
        <f t="shared" ref="N28:N33" si="19">+N27*(1+(M28*(B28-B27)/365))</f>
        <v>100.00830355860484</v>
      </c>
      <c r="O28" s="32">
        <f t="shared" ref="O28" si="20">+N28/100</f>
        <v>1.0000830355860484</v>
      </c>
      <c r="P28" s="33">
        <f>COUNT($B$19:B28)/12</f>
        <v>0.83333333333333337</v>
      </c>
      <c r="Q28" s="32">
        <f t="shared" ref="Q28" si="21">-1+(O28^(1/P28))</f>
        <v>9.964353062885678E-5</v>
      </c>
      <c r="R28" s="44">
        <f t="shared" ref="R28:R33" si="22">+(K28-Q28)/L28</f>
        <v>-0.61399818067888845</v>
      </c>
    </row>
    <row r="29" spans="2:18">
      <c r="B29" s="29">
        <v>42124</v>
      </c>
      <c r="C29" s="30">
        <f>+C28+20156645.93</f>
        <v>55533286.950000003</v>
      </c>
      <c r="D29" s="31">
        <v>55616526.899999999</v>
      </c>
      <c r="E29" s="31">
        <v>0</v>
      </c>
      <c r="F29" s="31">
        <v>0</v>
      </c>
      <c r="G29" s="32">
        <v>2.362973879E-2</v>
      </c>
      <c r="H29" s="33">
        <f t="shared" si="17"/>
        <v>1.02362973879</v>
      </c>
      <c r="I29" s="47">
        <f>+H29*H28*H27*H26*H25*H24*H23*H22*H21*H20</f>
        <v>1.0138675616881712</v>
      </c>
      <c r="J29" s="39">
        <f t="shared" si="12"/>
        <v>1.3867561688171159E-2</v>
      </c>
      <c r="K29" s="41">
        <f t="shared" si="18"/>
        <v>1.7731895963613464E-2</v>
      </c>
      <c r="L29" s="32">
        <f>STDEV($G$20:G29)*(12^0.5)</f>
        <v>3.4223171501460974E-2</v>
      </c>
      <c r="M29" s="43">
        <v>-1.5200000000000001E-4</v>
      </c>
      <c r="N29" s="33">
        <f t="shared" si="19"/>
        <v>100.00705413979873</v>
      </c>
      <c r="O29" s="32">
        <f t="shared" ref="O29" si="23">+N29/100</f>
        <v>1.0000705413979873</v>
      </c>
      <c r="P29" s="33">
        <f>COUNT($B$19:B29)/12</f>
        <v>0.91666666666666663</v>
      </c>
      <c r="Q29" s="32">
        <f t="shared" ref="Q29" si="24">-1+(O29^(1/P29))</f>
        <v>7.6954499092840578E-5</v>
      </c>
      <c r="R29" s="44">
        <f t="shared" si="22"/>
        <v>0.51587683694852593</v>
      </c>
    </row>
    <row r="30" spans="2:18">
      <c r="B30" s="29">
        <v>42155</v>
      </c>
      <c r="C30" s="30">
        <f>+C29+18115066</f>
        <v>73648352.950000003</v>
      </c>
      <c r="D30" s="31">
        <v>73960489.620000005</v>
      </c>
      <c r="E30" s="31">
        <v>0</v>
      </c>
      <c r="F30" s="31">
        <v>0</v>
      </c>
      <c r="G30" s="32">
        <v>3.1044636999999998E-3</v>
      </c>
      <c r="H30" s="33">
        <f t="shared" si="17"/>
        <v>1.0031044636999999</v>
      </c>
      <c r="I30" s="47">
        <f>+H30*H29*H28*H27*H26*H25*H24*H23*H22*H21*H20</f>
        <v>1.0170150767300397</v>
      </c>
      <c r="J30" s="39">
        <f t="shared" si="12"/>
        <v>1.7015076730039658E-2</v>
      </c>
      <c r="K30" s="41">
        <f t="shared" si="18"/>
        <v>1.9616609523790851E-2</v>
      </c>
      <c r="L30" s="32">
        <f>STDEV($G$20:G30)*(12^0.5)</f>
        <v>3.2514485651306609E-2</v>
      </c>
      <c r="M30" s="43">
        <v>0</v>
      </c>
      <c r="N30" s="33">
        <f t="shared" si="19"/>
        <v>100.00705413979873</v>
      </c>
      <c r="O30" s="32">
        <f t="shared" ref="O30" si="25">+N30/100</f>
        <v>1.0000705413979873</v>
      </c>
      <c r="P30" s="33">
        <f>COUNT($B$19:B30)/12</f>
        <v>1</v>
      </c>
      <c r="Q30" s="32">
        <f t="shared" ref="Q30" si="26">-1+(O30^(1/P30))</f>
        <v>7.0541397987344823E-5</v>
      </c>
      <c r="R30" s="44">
        <f t="shared" si="22"/>
        <v>0.60114954102058937</v>
      </c>
    </row>
    <row r="31" spans="2:18">
      <c r="B31" s="29">
        <v>42185</v>
      </c>
      <c r="C31" s="30">
        <f>+C30</f>
        <v>73648352.950000003</v>
      </c>
      <c r="D31" s="31">
        <v>74101090.590000004</v>
      </c>
      <c r="E31" s="31">
        <v>0</v>
      </c>
      <c r="F31" s="31">
        <v>529831.84</v>
      </c>
      <c r="G31" s="32">
        <v>9.1301479999999994E-3</v>
      </c>
      <c r="H31" s="33">
        <f t="shared" si="17"/>
        <v>1.0091301479999999</v>
      </c>
      <c r="I31" s="47">
        <f>+H31*H30*H29*H28*H27*H26*H25*H24*H23*H22*H21*H20</f>
        <v>1.0263005748988163</v>
      </c>
      <c r="J31" s="39">
        <f t="shared" si="12"/>
        <v>2.630057489881632E-2</v>
      </c>
      <c r="K31" s="41">
        <f t="shared" si="18"/>
        <v>2.7683586488278511E-2</v>
      </c>
      <c r="L31" s="32">
        <f>STDEV($G$20:G31)*(12^0.5)</f>
        <v>3.1908738064624922E-2</v>
      </c>
      <c r="M31" s="43">
        <v>-1E-4</v>
      </c>
      <c r="N31" s="33">
        <f t="shared" si="19"/>
        <v>100.00623216401127</v>
      </c>
      <c r="O31" s="32">
        <f t="shared" ref="O31:O36" si="27">+N31/100</f>
        <v>1.0000623216401126</v>
      </c>
      <c r="P31" s="33">
        <f>COUNT($B$19:B31)/12</f>
        <v>1.0833333333333333</v>
      </c>
      <c r="Q31" s="32">
        <f t="shared" ref="Q31:Q36" si="28">-1+(O31^(1/P31))</f>
        <v>5.7527529906176156E-5</v>
      </c>
      <c r="R31" s="44">
        <f t="shared" si="22"/>
        <v>0.86578350113442726</v>
      </c>
    </row>
    <row r="32" spans="2:18">
      <c r="B32" s="29">
        <v>42216</v>
      </c>
      <c r="C32" s="30">
        <f>+C31</f>
        <v>73648352.950000003</v>
      </c>
      <c r="D32" s="31">
        <v>74405956.219999999</v>
      </c>
      <c r="E32" s="31">
        <v>0</v>
      </c>
      <c r="F32" s="31">
        <v>0</v>
      </c>
      <c r="G32" s="32">
        <v>4.1099999999999999E-3</v>
      </c>
      <c r="H32" s="33">
        <f t="shared" si="17"/>
        <v>1.0041100000000001</v>
      </c>
      <c r="I32" s="47">
        <f>+H32*H31*H30*H29*H28*H27*H26*H25*H24*H23*H22*H21*H20</f>
        <v>1.0305186702616502</v>
      </c>
      <c r="J32" s="39">
        <f t="shared" si="12"/>
        <v>3.0518670261650227E-2</v>
      </c>
      <c r="K32" s="41">
        <f t="shared" si="18"/>
        <v>2.9453781480214269E-2</v>
      </c>
      <c r="L32" s="32">
        <f>STDEV($G$20:G32)*(12^0.5)</f>
        <v>3.0605103905099382E-2</v>
      </c>
      <c r="M32" s="43">
        <v>2.0000000000000001E-4</v>
      </c>
      <c r="N32" s="33">
        <f t="shared" si="19"/>
        <v>100.00793090000967</v>
      </c>
      <c r="O32" s="32">
        <f t="shared" si="27"/>
        <v>1.0000793090000968</v>
      </c>
      <c r="P32" s="33">
        <f>COUNT($B$19:B32)/12</f>
        <v>1.1666666666666667</v>
      </c>
      <c r="Q32" s="32">
        <f t="shared" si="28"/>
        <v>6.7978757854803007E-5</v>
      </c>
      <c r="R32" s="44">
        <f t="shared" si="22"/>
        <v>0.96016020117034273</v>
      </c>
    </row>
    <row r="33" spans="2:18">
      <c r="B33" s="29">
        <v>42247</v>
      </c>
      <c r="C33" s="30">
        <f>+C32+3340244</f>
        <v>76988596.950000003</v>
      </c>
      <c r="D33" s="31">
        <v>77908767.379999995</v>
      </c>
      <c r="E33" s="31">
        <v>0</v>
      </c>
      <c r="F33" s="31">
        <v>420410.04</v>
      </c>
      <c r="G33" s="32">
        <v>7.5392300000000001E-3</v>
      </c>
      <c r="H33" s="33">
        <f t="shared" si="17"/>
        <v>1.0075392299999999</v>
      </c>
      <c r="I33" s="47">
        <f>+H33*H32*H31*H30*H29*H28*H27*H26*H25*H24*H23*H22*H21*H20</f>
        <v>1.0382879875360469</v>
      </c>
      <c r="J33" s="39">
        <f t="shared" ref="J33" si="29">+I33-1</f>
        <v>3.8287987536046897E-2</v>
      </c>
      <c r="K33" s="41">
        <f t="shared" si="18"/>
        <v>3.4099590524599543E-2</v>
      </c>
      <c r="L33" s="32">
        <f>STDEV($G$20:G33)*(12^0.5)</f>
        <v>2.979418502550309E-2</v>
      </c>
      <c r="M33" s="43">
        <v>0</v>
      </c>
      <c r="N33" s="33">
        <f t="shared" si="19"/>
        <v>100.00793090000967</v>
      </c>
      <c r="O33" s="32">
        <f t="shared" si="27"/>
        <v>1.0000793090000968</v>
      </c>
      <c r="P33" s="33">
        <f>COUNT($B$19:B33)/12</f>
        <v>1.25</v>
      </c>
      <c r="Q33" s="32">
        <f t="shared" si="28"/>
        <v>6.3446696900060218E-5</v>
      </c>
      <c r="R33" s="44">
        <f t="shared" si="22"/>
        <v>1.14237539300254</v>
      </c>
    </row>
    <row r="34" spans="2:18">
      <c r="B34" s="29">
        <v>42277</v>
      </c>
      <c r="C34" s="30">
        <f>+C33</f>
        <v>76988596.950000003</v>
      </c>
      <c r="D34" s="31">
        <v>79478557.030000001</v>
      </c>
      <c r="E34" s="31">
        <v>0</v>
      </c>
      <c r="F34" s="31">
        <v>0</v>
      </c>
      <c r="G34" s="32">
        <v>2.014908E-2</v>
      </c>
      <c r="H34" s="33">
        <f t="shared" ref="H34:H39" si="30">+G34+1</f>
        <v>1.0201490799999999</v>
      </c>
      <c r="I34" s="47">
        <f>+H34*H33*H32*H31*H30*H29*H28*H27*H26*H25*H24*H23*H22*H21*H20</f>
        <v>1.0592085352599492</v>
      </c>
      <c r="J34" s="39">
        <f t="shared" ref="J34:J39" si="31">+I34-1</f>
        <v>5.920853525994918E-2</v>
      </c>
      <c r="K34" s="41">
        <f t="shared" ref="K34" si="32">+(1+J34)^(365/(B34-$B$19))-1</f>
        <v>4.8987883729417314E-2</v>
      </c>
      <c r="L34" s="32">
        <f>STDEV($G$20:G34)*(12^0.5)</f>
        <v>3.2668977701379727E-2</v>
      </c>
      <c r="M34" s="43">
        <v>-2.0000000000000001E-4</v>
      </c>
      <c r="N34" s="33">
        <f t="shared" ref="N34" si="33">+N33*(1+(M34*(B34-B33)/365))</f>
        <v>100.00628693402227</v>
      </c>
      <c r="O34" s="32">
        <f t="shared" si="27"/>
        <v>1.0000628693402227</v>
      </c>
      <c r="P34" s="33">
        <f>COUNT($B$19:B34)/12</f>
        <v>1.3333333333333333</v>
      </c>
      <c r="Q34" s="32">
        <f t="shared" si="28"/>
        <v>4.7151634624764682E-5</v>
      </c>
      <c r="R34" s="44">
        <f t="shared" ref="R34" si="34">+(K34-Q34)/L34</f>
        <v>1.498079693284238</v>
      </c>
    </row>
    <row r="35" spans="2:18">
      <c r="B35" s="29">
        <v>42308</v>
      </c>
      <c r="C35" s="30">
        <f>+C34</f>
        <v>76988596.950000003</v>
      </c>
      <c r="D35" s="31">
        <v>79350401.879999995</v>
      </c>
      <c r="E35" s="31">
        <v>0</v>
      </c>
      <c r="F35" s="31">
        <v>746371.81</v>
      </c>
      <c r="G35" s="32">
        <v>7.8521500000000004E-3</v>
      </c>
      <c r="H35" s="33">
        <f t="shared" si="30"/>
        <v>1.0078521499999999</v>
      </c>
      <c r="I35" s="47">
        <f>+H35*H34*H33*H32*H31*H30*H29*H28*H27*H26*H25*H24*H23*H22*H21*H20</f>
        <v>1.067525599560091</v>
      </c>
      <c r="J35" s="39">
        <f t="shared" si="31"/>
        <v>6.7525599560090965E-2</v>
      </c>
      <c r="K35" s="41">
        <f t="shared" ref="K35" si="35">+(1+J35)^(365/(B35-$B$19))-1</f>
        <v>5.2055050836498307E-2</v>
      </c>
      <c r="L35" s="32">
        <f>STDEV($G$20:G35)*(12^0.5)</f>
        <v>3.1747829406882963E-2</v>
      </c>
      <c r="M35" s="43">
        <v>0</v>
      </c>
      <c r="N35" s="33">
        <f t="shared" ref="N35:N40" si="36">+N34*(1+(M35*(B35-B34)/365))</f>
        <v>100.00628693402227</v>
      </c>
      <c r="O35" s="32">
        <f t="shared" si="27"/>
        <v>1.0000628693402227</v>
      </c>
      <c r="P35" s="33">
        <f>COUNT($B$19:B35)/12</f>
        <v>1.4166666666666667</v>
      </c>
      <c r="Q35" s="32">
        <f t="shared" si="28"/>
        <v>4.4377947515661376E-5</v>
      </c>
      <c r="R35" s="44">
        <f t="shared" ref="R35:R40" si="37">+(K35-Q35)/L35</f>
        <v>1.6382434283115643</v>
      </c>
    </row>
    <row r="36" spans="2:18">
      <c r="B36" s="29">
        <v>42338</v>
      </c>
      <c r="C36" s="30">
        <f>+C35+4492052.53</f>
        <v>81480649.480000004</v>
      </c>
      <c r="D36" s="31">
        <v>83941691.709999993</v>
      </c>
      <c r="E36" s="31">
        <v>0</v>
      </c>
      <c r="F36" s="31">
        <v>0</v>
      </c>
      <c r="G36" s="32">
        <v>1.1836163000000001E-3</v>
      </c>
      <c r="H36" s="33">
        <f t="shared" si="30"/>
        <v>1.0011836163000001</v>
      </c>
      <c r="I36" s="47">
        <f>+H36*H35*H34*H33*H32*H31*H30*H29*H28*H27*H26*H25*H24*H23*H22*H21*H20</f>
        <v>1.0687891402603977</v>
      </c>
      <c r="J36" s="39">
        <f t="shared" si="31"/>
        <v>6.878914026039773E-2</v>
      </c>
      <c r="K36" s="41">
        <f t="shared" ref="K36" si="38">+(1+J36)^(365/(B36-$B$19))-1</f>
        <v>4.9762811704437082E-2</v>
      </c>
      <c r="L36" s="32">
        <f>STDEV($G$20:G36)*(12^0.5)</f>
        <v>3.0839312510653791E-2</v>
      </c>
      <c r="M36" s="43">
        <v>9.1500000000000001E-4</v>
      </c>
      <c r="N36" s="33">
        <f t="shared" si="36"/>
        <v>100.01380795477935</v>
      </c>
      <c r="O36" s="32">
        <f t="shared" si="27"/>
        <v>1.0001380795477934</v>
      </c>
      <c r="P36" s="33">
        <f>COUNT($B$19:B36)/12</f>
        <v>1.5</v>
      </c>
      <c r="Q36" s="32">
        <f t="shared" si="28"/>
        <v>9.2050913552021996E-5</v>
      </c>
      <c r="R36" s="44">
        <f t="shared" si="37"/>
        <v>1.610631260788506</v>
      </c>
    </row>
    <row r="37" spans="2:18">
      <c r="B37" s="29">
        <v>42369</v>
      </c>
      <c r="C37" s="30">
        <f>+C36+21440912.23</f>
        <v>102921561.71000001</v>
      </c>
      <c r="D37" s="31">
        <v>105374810.29000001</v>
      </c>
      <c r="E37" s="31">
        <v>0</v>
      </c>
      <c r="F37" s="31">
        <v>0</v>
      </c>
      <c r="G37" s="32">
        <v>-7.3999999999999996E-5</v>
      </c>
      <c r="H37" s="33">
        <f t="shared" si="30"/>
        <v>0.99992599999999998</v>
      </c>
      <c r="I37" s="47">
        <f>+H37*H36*H35*H34*H33*H32*H31*H30*H29*H28*H27*H26*H25*H24*H23*H22*H21*H20</f>
        <v>1.0687100498640181</v>
      </c>
      <c r="J37" s="39">
        <f t="shared" si="31"/>
        <v>6.8710049864018075E-2</v>
      </c>
      <c r="K37" s="41">
        <f t="shared" ref="K37:K41" si="39">+(1+J37)^(365/(B37-$B$19))-1</f>
        <v>4.673749162315266E-2</v>
      </c>
      <c r="L37" s="32">
        <f>STDEV($G$20:G37)*(12^0.5)</f>
        <v>3.0099110402427184E-2</v>
      </c>
      <c r="M37" s="43">
        <v>1.2199999999999999E-3</v>
      </c>
      <c r="N37" s="33">
        <f t="shared" si="36"/>
        <v>100.02417102934606</v>
      </c>
      <c r="O37" s="32">
        <f t="shared" ref="O37" si="40">+N37/100</f>
        <v>1.0002417102934607</v>
      </c>
      <c r="P37" s="33">
        <f>COUNT($B$19:B37)/12</f>
        <v>1.5833333333333333</v>
      </c>
      <c r="Q37" s="32">
        <f t="shared" ref="Q37" si="41">-1+(O37^(1/P37))</f>
        <v>1.5265233622474561E-4</v>
      </c>
      <c r="R37" s="44">
        <f t="shared" si="37"/>
        <v>1.5477148216038745</v>
      </c>
    </row>
    <row r="38" spans="2:18">
      <c r="B38" s="29">
        <v>42400</v>
      </c>
      <c r="C38" s="30">
        <f>+C37</f>
        <v>102921561.71000001</v>
      </c>
      <c r="D38" s="31">
        <v>105039588.77</v>
      </c>
      <c r="E38" s="31">
        <v>0</v>
      </c>
      <c r="F38" s="31">
        <v>886892.42</v>
      </c>
      <c r="G38" s="32">
        <v>5.2797599999999997E-3</v>
      </c>
      <c r="H38" s="33">
        <f t="shared" si="30"/>
        <v>1.0052797600000001</v>
      </c>
      <c r="I38" s="47">
        <f>+H38*H37*H36*H35*H34*H33*H32*H31*H30*H29*H28*H27*H26*H25*H24*H23*H22*H21*H20</f>
        <v>1.0743525824368887</v>
      </c>
      <c r="J38" s="39">
        <f t="shared" si="31"/>
        <v>7.4352582436888692E-2</v>
      </c>
      <c r="K38" s="41">
        <f t="shared" si="39"/>
        <v>4.768038848445566E-2</v>
      </c>
      <c r="L38" s="32">
        <f>STDEV($G$20:G38)*(12^0.5)</f>
        <v>2.9276860614200619E-2</v>
      </c>
      <c r="M38" s="43">
        <v>2.186E-3</v>
      </c>
      <c r="N38" s="33">
        <f t="shared" si="36"/>
        <v>100.04274154434327</v>
      </c>
      <c r="O38" s="32">
        <f t="shared" ref="O38" si="42">+N38/100</f>
        <v>1.0004274154434327</v>
      </c>
      <c r="P38" s="33">
        <f>COUNT($B$19:B38)/12</f>
        <v>1.6666666666666667</v>
      </c>
      <c r="Q38" s="32">
        <f t="shared" ref="Q38" si="43">-1+(O38^(1/P38))</f>
        <v>2.5642734835584768E-4</v>
      </c>
      <c r="R38" s="44">
        <f t="shared" si="37"/>
        <v>1.6198444826798477</v>
      </c>
    </row>
    <row r="39" spans="2:18">
      <c r="B39" s="29">
        <v>42429</v>
      </c>
      <c r="C39" s="30">
        <f>+C38+3054595.72</f>
        <v>105976157.43000001</v>
      </c>
      <c r="D39" s="31">
        <v>108197629.88</v>
      </c>
      <c r="E39" s="31">
        <v>0</v>
      </c>
      <c r="F39" s="31">
        <v>0</v>
      </c>
      <c r="G39" s="32">
        <v>9.5699000000000001E-4</v>
      </c>
      <c r="H39" s="33">
        <f t="shared" si="30"/>
        <v>1.0009569899999999</v>
      </c>
      <c r="I39" s="47">
        <f>+H39*H38*H37*H36*H35*H34*H33*H32*H31*H30*H29*H28*H27*H26*H25*H24*H23*H22*H21*H20</f>
        <v>1.0753807271147549</v>
      </c>
      <c r="J39" s="39">
        <f t="shared" si="31"/>
        <v>7.5380727114754853E-2</v>
      </c>
      <c r="K39" s="41">
        <f t="shared" si="39"/>
        <v>4.5906252924396096E-2</v>
      </c>
      <c r="L39" s="32">
        <f>STDEV($G$20:G39)*(12^0.5)</f>
        <v>2.8581890215245893E-2</v>
      </c>
      <c r="M39" s="43">
        <v>2.186E-3</v>
      </c>
      <c r="N39" s="33">
        <f t="shared" si="36"/>
        <v>100.06011718696645</v>
      </c>
      <c r="O39" s="32">
        <f t="shared" ref="O39" si="44">+N39/100</f>
        <v>1.0006011718696646</v>
      </c>
      <c r="P39" s="33">
        <f>COUNT($B$19:B39)/12</f>
        <v>1.75</v>
      </c>
      <c r="Q39" s="32">
        <f t="shared" ref="Q39" si="45">-1+(O39^(1/P39))</f>
        <v>3.4348254133553802E-4</v>
      </c>
      <c r="R39" s="44">
        <f t="shared" si="37"/>
        <v>1.5941132668250499</v>
      </c>
    </row>
    <row r="40" spans="2:18">
      <c r="B40" s="29">
        <v>42460</v>
      </c>
      <c r="C40" s="30">
        <f t="shared" ref="C40:C48" si="46">+C39</f>
        <v>105976157.43000001</v>
      </c>
      <c r="D40" s="31">
        <v>109884927.34999999</v>
      </c>
      <c r="E40" s="31">
        <v>0</v>
      </c>
      <c r="F40" s="31">
        <v>0</v>
      </c>
      <c r="G40" s="32">
        <v>1.55946E-2</v>
      </c>
      <c r="H40" s="33">
        <f t="shared" ref="H40:H45" si="47">+G40+1</f>
        <v>1.0155946</v>
      </c>
      <c r="I40" s="47">
        <f>+H40*H39*H38*H37*H36*H35*H34*H33*H32*H31*H30*H29*H28*H27*H26*H25*H24*H23*H22*H21*H20</f>
        <v>1.0921508594018181</v>
      </c>
      <c r="J40" s="39">
        <f t="shared" ref="J40" si="48">+I40-1</f>
        <v>9.2150859401818108E-2</v>
      </c>
      <c r="K40" s="41">
        <f t="shared" si="39"/>
        <v>5.3088544324366049E-2</v>
      </c>
      <c r="L40" s="32">
        <f>STDEV($G$20:G40)*(12^0.5)</f>
        <v>2.9279679627852905E-2</v>
      </c>
      <c r="M40" s="43">
        <v>1.678E-3</v>
      </c>
      <c r="N40" s="33">
        <f t="shared" si="36"/>
        <v>100.07437726142078</v>
      </c>
      <c r="O40" s="32">
        <f t="shared" ref="O40" si="49">+N40/100</f>
        <v>1.0007437726142079</v>
      </c>
      <c r="P40" s="33">
        <f>COUNT($B$19:B40)/12</f>
        <v>1.8333333333333333</v>
      </c>
      <c r="Q40" s="32">
        <f t="shared" ref="Q40" si="50">-1+(O40^(1/P40))</f>
        <v>4.0562559969603562E-4</v>
      </c>
      <c r="R40" s="44">
        <f t="shared" si="37"/>
        <v>1.7992996984350298</v>
      </c>
    </row>
    <row r="41" spans="2:18">
      <c r="B41" s="29">
        <v>42490</v>
      </c>
      <c r="C41" s="30">
        <f t="shared" si="46"/>
        <v>105976157.43000001</v>
      </c>
      <c r="D41" s="31">
        <v>106994983.73</v>
      </c>
      <c r="E41" s="31">
        <v>0</v>
      </c>
      <c r="F41" s="31">
        <v>4152269.06</v>
      </c>
      <c r="G41" s="32">
        <v>1.1938799999999999E-2</v>
      </c>
      <c r="H41" s="33">
        <f t="shared" si="47"/>
        <v>1.0119388</v>
      </c>
      <c r="I41" s="47">
        <f>+H41*H40*H39*H38*H37*H36*H35*H34*H33*H32*H31*H30*H29*H28*H27*H26*H25*H24*H23*H22*H21*H20</f>
        <v>1.1051898300820449</v>
      </c>
      <c r="J41" s="39">
        <f t="shared" ref="J41" si="51">+I41-1</f>
        <v>0.10518983008204486</v>
      </c>
      <c r="K41" s="41">
        <f t="shared" si="39"/>
        <v>5.7588350207006256E-2</v>
      </c>
      <c r="L41" s="32">
        <f>STDEV($G$20:G41)*(12^0.5)</f>
        <v>2.9134245569780559E-2</v>
      </c>
      <c r="M41" s="43">
        <v>1.5250000000000001E-3</v>
      </c>
      <c r="N41" s="33">
        <f t="shared" ref="N41" si="52">+N40*(1+(M41*(B41-B40)/365))</f>
        <v>100.08692083062547</v>
      </c>
      <c r="O41" s="32">
        <f t="shared" ref="O41" si="53">+N41/100</f>
        <v>1.0008692083062547</v>
      </c>
      <c r="P41" s="33">
        <f>COUNT($B$19:B41)/12</f>
        <v>1.9166666666666667</v>
      </c>
      <c r="Q41" s="32">
        <f t="shared" ref="Q41" si="54">-1+(O41^(1/P41))</f>
        <v>4.5340576436436741E-4</v>
      </c>
      <c r="R41" s="44">
        <f t="shared" ref="R41" si="55">+(K41-Q41)/L41</f>
        <v>1.9610922927726333</v>
      </c>
    </row>
    <row r="42" spans="2:18">
      <c r="B42" s="29">
        <v>42521</v>
      </c>
      <c r="C42" s="30">
        <f t="shared" si="46"/>
        <v>105976157.43000001</v>
      </c>
      <c r="D42" s="31">
        <v>110994842.14</v>
      </c>
      <c r="E42" s="31">
        <v>0</v>
      </c>
      <c r="F42" s="31">
        <v>0</v>
      </c>
      <c r="G42" s="32">
        <v>3.7383600000000003E-2</v>
      </c>
      <c r="H42" s="33">
        <f t="shared" si="47"/>
        <v>1.0373836000000001</v>
      </c>
      <c r="I42" s="47">
        <f>+H42*H41*H40*H39*H38*H37*H36*H35*H34*H33*H32*H31*H30*H29*H28*H27*H26*H25*H24*H23*H22*H21*H20</f>
        <v>1.1465058046139001</v>
      </c>
      <c r="J42" s="39">
        <f t="shared" ref="J42" si="56">+I42-1</f>
        <v>0.14650580461390006</v>
      </c>
      <c r="K42" s="41">
        <f t="shared" ref="K42:K47" si="57">+(1+J42)^(365/(B42-$B$19))-1</f>
        <v>7.5798884143110756E-2</v>
      </c>
      <c r="L42" s="32">
        <f>STDEV($G$20:G42)*(12^0.5)</f>
        <v>3.7031163576312656E-2</v>
      </c>
      <c r="M42" s="43">
        <v>1.7799999999999999E-3</v>
      </c>
      <c r="N42" s="33">
        <f t="shared" ref="N42" si="58">+N41*(1+(M42*(B42-B41)/365))</f>
        <v>100.10205177936912</v>
      </c>
      <c r="O42" s="32">
        <f t="shared" ref="O42" si="59">+N42/100</f>
        <v>1.0010205177936913</v>
      </c>
      <c r="P42" s="33">
        <f>COUNT($B$19:B42)/12</f>
        <v>2</v>
      </c>
      <c r="Q42" s="32">
        <f t="shared" ref="Q42" si="60">-1+(O42^(1/P42))</f>
        <v>5.101287811588584E-4</v>
      </c>
      <c r="R42" s="44">
        <f t="shared" ref="R42" si="61">+(K42-Q42)/L42</f>
        <v>2.0331188137472158</v>
      </c>
    </row>
    <row r="43" spans="2:18">
      <c r="B43" s="29">
        <v>42551</v>
      </c>
      <c r="C43" s="30">
        <f t="shared" si="46"/>
        <v>105976157.43000001</v>
      </c>
      <c r="D43" s="31">
        <v>111453019.3</v>
      </c>
      <c r="E43" s="31">
        <v>0</v>
      </c>
      <c r="F43" s="31">
        <v>0</v>
      </c>
      <c r="G43" s="32">
        <v>4.1279000000000003E-3</v>
      </c>
      <c r="H43" s="33">
        <f t="shared" si="47"/>
        <v>1.0041279000000001</v>
      </c>
      <c r="I43" s="47">
        <f>+H43*H42*H41*H40*H39*H38*H37*H36*H35*H34*H33*H32*H31*H30*H29*H28*H27*H26*H25*H24*H23*H22*H21*H20</f>
        <v>1.1512384659247654</v>
      </c>
      <c r="J43" s="39">
        <f t="shared" ref="J43" si="62">+I43-1</f>
        <v>0.15123846592476542</v>
      </c>
      <c r="K43" s="41">
        <f t="shared" si="57"/>
        <v>7.4760818862706691E-2</v>
      </c>
      <c r="L43" s="32">
        <f>STDEV($G$20:G43)*(12^0.5)</f>
        <v>3.6241789947145664E-2</v>
      </c>
      <c r="M43" s="43">
        <v>1.6800000000000001E-3</v>
      </c>
      <c r="N43" s="33">
        <f t="shared" ref="N43" si="63">+N42*(1+(M43*(B43-B42)/365))</f>
        <v>100.11587409008058</v>
      </c>
      <c r="O43" s="32">
        <f t="shared" ref="O43" si="64">+N43/100</f>
        <v>1.0011587409008058</v>
      </c>
      <c r="P43" s="33">
        <f>COUNT($B$19:B43)/12</f>
        <v>2.0833333333333335</v>
      </c>
      <c r="Q43" s="32">
        <f t="shared" ref="Q43" si="65">-1+(O43^(1/P43))</f>
        <v>5.5602816416921996E-4</v>
      </c>
      <c r="R43" s="44">
        <f t="shared" ref="R43" si="66">+(K43-Q43)/L43</f>
        <v>2.0474924336451461</v>
      </c>
    </row>
    <row r="44" spans="2:18">
      <c r="B44" s="29">
        <v>42582</v>
      </c>
      <c r="C44" s="30">
        <f t="shared" si="46"/>
        <v>105976157.43000001</v>
      </c>
      <c r="D44" s="31">
        <v>108631493.19</v>
      </c>
      <c r="E44" s="31">
        <v>0</v>
      </c>
      <c r="F44" s="31">
        <v>3722644.56</v>
      </c>
      <c r="G44" s="32">
        <v>8.3645999999999998E-3</v>
      </c>
      <c r="H44" s="33">
        <f t="shared" si="47"/>
        <v>1.0083645999999999</v>
      </c>
      <c r="I44" s="47">
        <f>+H44*H43*H42*H41*H40*H39*H38*H37*H36*H35*H34*H33*H32*H31*H30*H29*H28*H27*H26*H25*H24*H23*H22*H21*H20</f>
        <v>1.1608681151968407</v>
      </c>
      <c r="J44" s="39">
        <f t="shared" ref="J44" si="67">+I44-1</f>
        <v>0.16086811519684074</v>
      </c>
      <c r="K44" s="41">
        <f t="shared" si="57"/>
        <v>7.5924817285636381E-2</v>
      </c>
      <c r="L44" s="32">
        <f>STDEV($G$20:G44)*(12^0.5)</f>
        <v>3.5518554315937978E-2</v>
      </c>
      <c r="M44" s="43">
        <v>1.7799999999999999E-3</v>
      </c>
      <c r="N44" s="33">
        <f t="shared" ref="N44" si="68">+N43*(1+(M44*(B44-B43)/365))</f>
        <v>100.13100941592246</v>
      </c>
      <c r="O44" s="32">
        <f t="shared" ref="O44" si="69">+N44/100</f>
        <v>1.0013100941592246</v>
      </c>
      <c r="P44" s="33">
        <f>COUNT($B$19:B44)/12</f>
        <v>2.1666666666666665</v>
      </c>
      <c r="Q44" s="32">
        <f t="shared" ref="Q44" si="70">-1+(O44^(1/P44))</f>
        <v>6.0444571203555064E-4</v>
      </c>
      <c r="R44" s="44">
        <f t="shared" ref="R44" si="71">+(K44-Q44)/L44</f>
        <v>2.120592265766934</v>
      </c>
    </row>
    <row r="45" spans="2:18">
      <c r="B45" s="29">
        <v>42613</v>
      </c>
      <c r="C45" s="30">
        <f t="shared" si="46"/>
        <v>105976157.43000001</v>
      </c>
      <c r="D45" s="31">
        <v>108692152.38</v>
      </c>
      <c r="E45" s="31">
        <v>0</v>
      </c>
      <c r="F45" s="31">
        <v>483759.5</v>
      </c>
      <c r="G45" s="32">
        <v>5.0340300000000001E-3</v>
      </c>
      <c r="H45" s="33">
        <f t="shared" si="47"/>
        <v>1.00503403</v>
      </c>
      <c r="I45" s="47">
        <f>+H45*H44*H43*H42*H41*H40*H39*H38*H37*H36*H35*H34*H33*H32*H31*H30*H29*H28*H27*H26*H25*H24*H23*H22*H21*H20</f>
        <v>1.1667119601147851</v>
      </c>
      <c r="J45" s="39">
        <f t="shared" ref="J45" si="72">+I45-1</f>
        <v>0.16671196011478506</v>
      </c>
      <c r="K45" s="41">
        <f t="shared" si="57"/>
        <v>7.5319989138038057E-2</v>
      </c>
      <c r="L45" s="32">
        <f>STDEV($G$20:G45)*(12^0.5)</f>
        <v>3.4807568474874387E-2</v>
      </c>
      <c r="M45" s="43">
        <v>2.6870000000000002E-3</v>
      </c>
      <c r="N45" s="33">
        <f t="shared" ref="N45" si="73">+N44*(1+(M45*(B45-B44)/365))</f>
        <v>100.1538604095973</v>
      </c>
      <c r="O45" s="32">
        <f t="shared" ref="O45" si="74">+N45/100</f>
        <v>1.0015386040959731</v>
      </c>
      <c r="P45" s="33">
        <f>COUNT($B$19:B45)/12</f>
        <v>2.25</v>
      </c>
      <c r="Q45" s="32">
        <f t="shared" ref="Q45" si="75">-1+(O45^(1/P45))</f>
        <v>6.8353201601301095E-4</v>
      </c>
      <c r="R45" s="44">
        <f t="shared" ref="R45" si="76">+(K45-Q45)/L45</f>
        <v>2.1442594352978399</v>
      </c>
    </row>
    <row r="46" spans="2:18">
      <c r="B46" s="29">
        <v>42643</v>
      </c>
      <c r="C46" s="30">
        <f t="shared" si="46"/>
        <v>105976157.43000001</v>
      </c>
      <c r="D46" s="31">
        <v>109230595.14</v>
      </c>
      <c r="E46" s="31">
        <v>0</v>
      </c>
      <c r="F46" s="31">
        <v>0</v>
      </c>
      <c r="G46" s="32">
        <v>4.9538000000000004E-3</v>
      </c>
      <c r="H46" s="33">
        <f t="shared" ref="H46:H51" si="77">+G46+1</f>
        <v>1.0049538</v>
      </c>
      <c r="I46" s="47">
        <f>+H46*H45*H44*H43*H42*H41*H40*H39*H38*H37*H36*H35*H34*H33*H32*H31*H30*H29*H28*H27*H26*H25*H24*H23*H22*H21*H20</f>
        <v>1.1724916178228013</v>
      </c>
      <c r="J46" s="39">
        <f t="shared" ref="J46" si="78">+I46-1</f>
        <v>0.17249161782280131</v>
      </c>
      <c r="K46" s="41">
        <f t="shared" si="57"/>
        <v>7.481934684899505E-2</v>
      </c>
      <c r="L46" s="32">
        <f>STDEV($G$20:G46)*(12^0.5)</f>
        <v>3.4138698396053831E-2</v>
      </c>
      <c r="M46" s="43">
        <v>1.825E-3</v>
      </c>
      <c r="N46" s="33">
        <f t="shared" ref="N46" si="79">+N45*(1+(M46*(B46-B45)/365))</f>
        <v>100.16888348865875</v>
      </c>
      <c r="O46" s="32">
        <f t="shared" ref="O46" si="80">+N46/100</f>
        <v>1.0016888348865876</v>
      </c>
      <c r="P46" s="33">
        <f>COUNT($B$19:B46)/12</f>
        <v>2.3333333333333335</v>
      </c>
      <c r="Q46" s="32">
        <f t="shared" ref="Q46" si="81">-1+(O46^(1/P46))</f>
        <v>7.2343744409986144E-4</v>
      </c>
      <c r="R46" s="44">
        <f t="shared" ref="R46" si="82">+(K46-Q46)/L46</f>
        <v>2.1704374474177404</v>
      </c>
    </row>
    <row r="47" spans="2:18">
      <c r="B47" s="29">
        <v>42674</v>
      </c>
      <c r="C47" s="30">
        <f t="shared" si="46"/>
        <v>105976157.43000001</v>
      </c>
      <c r="D47" s="31">
        <v>108380307.06</v>
      </c>
      <c r="E47" s="31">
        <v>0</v>
      </c>
      <c r="F47" s="31">
        <v>1727712.51</v>
      </c>
      <c r="G47" s="32">
        <v>8.1618999999999997E-3</v>
      </c>
      <c r="H47" s="33">
        <f t="shared" si="77"/>
        <v>1.0081618999999999</v>
      </c>
      <c r="I47" s="47">
        <f>+H47*H46*H45*H44*H43*H42*H41*H40*H39*H38*H37*H36*H35*H34*H33*H32*H31*H30*H29*H28*H27*H26*H25*H24*H23*H22*H21*H20</f>
        <v>1.1820613771583088</v>
      </c>
      <c r="J47" s="39">
        <f t="shared" ref="J47" si="83">+I47-1</f>
        <v>0.18206137715830883</v>
      </c>
      <c r="K47" s="41">
        <f t="shared" si="57"/>
        <v>7.5758644114073181E-2</v>
      </c>
      <c r="L47" s="32">
        <f>STDEV($G$20:G47)*(12^0.5)</f>
        <v>3.3531610434752696E-2</v>
      </c>
      <c r="M47" s="43">
        <v>1.622E-3</v>
      </c>
      <c r="N47" s="33">
        <f t="shared" ref="N47" si="84">+N46*(1+(M47*(B47-B46)/365))</f>
        <v>100.18268264427402</v>
      </c>
      <c r="O47" s="32">
        <f t="shared" ref="O47" si="85">+N47/100</f>
        <v>1.0018268264427403</v>
      </c>
      <c r="P47" s="33">
        <f>COUNT($B$19:B47)/12</f>
        <v>2.4166666666666665</v>
      </c>
      <c r="Q47" s="32">
        <f t="shared" ref="Q47" si="86">-1+(O47^(1/P47))</f>
        <v>7.555238126160102E-4</v>
      </c>
      <c r="R47" s="44">
        <f t="shared" ref="R47" si="87">+(K47-Q47)/L47</f>
        <v>2.2367884908898601</v>
      </c>
    </row>
    <row r="48" spans="2:18">
      <c r="B48" s="29">
        <v>42704</v>
      </c>
      <c r="C48" s="30">
        <f t="shared" si="46"/>
        <v>105976157.43000001</v>
      </c>
      <c r="D48" s="31">
        <v>107873427.17</v>
      </c>
      <c r="E48" s="31">
        <v>0</v>
      </c>
      <c r="F48" s="31">
        <v>760193.5</v>
      </c>
      <c r="G48" s="32">
        <v>2.3538000000000001E-3</v>
      </c>
      <c r="H48" s="33">
        <f t="shared" si="77"/>
        <v>1.0023538000000001</v>
      </c>
      <c r="I48" s="47">
        <f>+H48*H47*H46*H45*H44*H43*H42*H41*H40*H39*H38*H37*H36*H35*H34*H33*H32*H31*H30*H29*H28*H27*H26*H25*H24*H23*H22*H21*H20</f>
        <v>1.1848437132278646</v>
      </c>
      <c r="J48" s="39">
        <f t="shared" ref="J48" si="88">+I48-1</f>
        <v>0.18484371322786464</v>
      </c>
      <c r="K48" s="41">
        <f t="shared" ref="K48" si="89">+(1+J48)^(365/(B48-$B$19))-1</f>
        <v>7.4104470772498487E-2</v>
      </c>
      <c r="L48" s="32">
        <f>STDEV($G$20:G48)*(12^0.5)</f>
        <v>3.30124728287896E-2</v>
      </c>
      <c r="M48" s="43">
        <v>3.5999999999999999E-3</v>
      </c>
      <c r="N48" s="33">
        <f t="shared" ref="N48" si="90">+N47*(1+(M48*(B48-B47)/365))</f>
        <v>100.21232573941261</v>
      </c>
      <c r="O48" s="32">
        <f t="shared" ref="O48" si="91">+N48/100</f>
        <v>1.0021232573941261</v>
      </c>
      <c r="P48" s="33">
        <f>COUNT($B$19:B48)/12</f>
        <v>2.5</v>
      </c>
      <c r="Q48" s="32">
        <f t="shared" ref="Q48" si="92">-1+(O48^(1/P48))</f>
        <v>8.4876258278621108E-4</v>
      </c>
      <c r="R48" s="44">
        <f t="shared" ref="R48" si="93">+(K48-Q48)/L48</f>
        <v>2.2190312300939556</v>
      </c>
    </row>
    <row r="49" spans="2:18">
      <c r="B49" s="29">
        <v>42735</v>
      </c>
      <c r="C49" s="30">
        <f>+C48+7941718.5</f>
        <v>113917875.93000001</v>
      </c>
      <c r="D49" s="31">
        <v>116284083.16</v>
      </c>
      <c r="E49" s="31">
        <v>0</v>
      </c>
      <c r="F49" s="31">
        <v>230361.67</v>
      </c>
      <c r="G49" s="32">
        <v>6.0501000000000001E-3</v>
      </c>
      <c r="H49" s="33">
        <f t="shared" si="77"/>
        <v>1.0060500999999999</v>
      </c>
      <c r="I49" s="47">
        <f>+H49*H48*H47*H46*H45*H44*H43*H42*H41*H40*H39*H38*H37*H36*H35*H34*H33*H32*H31*H30*H29*H28*H27*H26*H25*H24*H23*H22*H21*H20</f>
        <v>1.1920121361772642</v>
      </c>
      <c r="J49" s="39">
        <f t="shared" ref="J49" si="94">+I49-1</f>
        <v>0.1920121361772642</v>
      </c>
      <c r="K49" s="41">
        <f t="shared" ref="K49" si="95">+(1+J49)^(365/(B49-$B$19))-1</f>
        <v>7.4087141502878096E-2</v>
      </c>
      <c r="L49" s="32">
        <f>STDEV($G$20:G49)*(12^0.5)</f>
        <v>3.2438421746359539E-2</v>
      </c>
      <c r="M49" s="43">
        <v>4.1580000000000002E-3</v>
      </c>
      <c r="N49" s="33">
        <f t="shared" ref="N49" si="96">+N48*(1+(M49*(B49-B48)/365))</f>
        <v>100.24771524177743</v>
      </c>
      <c r="O49" s="32">
        <f t="shared" ref="O49" si="97">+N49/100</f>
        <v>1.0024771524177742</v>
      </c>
      <c r="P49" s="33">
        <f>COUNT($B$19:B49)/12</f>
        <v>2.5833333333333335</v>
      </c>
      <c r="Q49" s="32">
        <f t="shared" ref="Q49" si="98">-1+(O49^(1/P49))</f>
        <v>9.5817075251192207E-4</v>
      </c>
      <c r="R49" s="44">
        <f t="shared" ref="R49" si="99">+(K49-Q49)/L49</f>
        <v>2.2543936114454524</v>
      </c>
    </row>
    <row r="50" spans="2:18">
      <c r="B50" s="29">
        <v>42766</v>
      </c>
      <c r="C50" s="30">
        <f>+C49</f>
        <v>113917875.93000001</v>
      </c>
      <c r="D50" s="31">
        <v>117435927.69</v>
      </c>
      <c r="E50" s="31">
        <v>0</v>
      </c>
      <c r="F50" s="31">
        <v>0</v>
      </c>
      <c r="G50" s="32">
        <v>9.9054E-3</v>
      </c>
      <c r="H50" s="33">
        <f t="shared" si="77"/>
        <v>1.0099054000000001</v>
      </c>
      <c r="I50" s="47">
        <f>+H50*H49*H48*H47*H46*H45*H44*H43*H42*H41*H40*H39*H38*H37*H36*H35*H34*H33*H32*H31*H30*H29*H28*H27*H26*H25*H24*H23*H22*H21*H20</f>
        <v>1.2038194931909547</v>
      </c>
      <c r="J50" s="39">
        <f>+I50-1</f>
        <v>0.20381949319095471</v>
      </c>
      <c r="K50" s="41">
        <f t="shared" ref="K50" si="100">+(1+J50)^(365/(B50-$B$19))-1</f>
        <v>7.5687978892014396E-2</v>
      </c>
      <c r="L50" s="32">
        <f>STDEV($G$20:G50)*(12^0.5)</f>
        <v>3.1989746864352644E-2</v>
      </c>
      <c r="M50" s="43">
        <v>4.614E-3</v>
      </c>
      <c r="N50" s="33">
        <f t="shared" ref="N50" si="101">+N49*(1+(M50*(B50-B49)/365))</f>
        <v>100.28699971219358</v>
      </c>
      <c r="O50" s="32">
        <f t="shared" ref="O50" si="102">+N50/100</f>
        <v>1.0028699971219357</v>
      </c>
      <c r="P50" s="33">
        <f>COUNT($B$19:B50)/12</f>
        <v>2.6666666666666665</v>
      </c>
      <c r="Q50" s="32">
        <f t="shared" ref="Q50" si="103">-1+(O50^(1/P50))</f>
        <v>1.0752851586979251E-3</v>
      </c>
      <c r="R50" s="44">
        <f t="shared" ref="R50" si="104">+(K50-Q50)/L50</f>
        <v>2.3323940026690284</v>
      </c>
    </row>
    <row r="51" spans="2:18">
      <c r="B51" s="29">
        <v>42794</v>
      </c>
      <c r="C51" s="30">
        <f>+C50+11518083</f>
        <v>125435958.93000001</v>
      </c>
      <c r="D51" s="31">
        <v>128305586.5</v>
      </c>
      <c r="E51" s="31">
        <v>0</v>
      </c>
      <c r="F51" s="31">
        <v>1266989.17</v>
      </c>
      <c r="G51" s="32">
        <v>4.8443999999999996E-3</v>
      </c>
      <c r="H51" s="33">
        <f t="shared" si="77"/>
        <v>1.0048444000000001</v>
      </c>
      <c r="I51" s="47">
        <f>+H51*H50*H49*H48*H47*H46*H45*H44*H43*H42*H41*H40*H39*H38*H37*H36*H35*H34*H33*H32*H31*H30*H29*H28*H27*H26*H25*H24*H23*H22*H21*H20</f>
        <v>1.2096512763437695</v>
      </c>
      <c r="J51" s="39">
        <f>+I51-1</f>
        <v>0.20965127634376945</v>
      </c>
      <c r="K51" s="41">
        <f t="shared" ref="K51" si="105">+(1+J51)^(365/(B51-$B$19))-1</f>
        <v>7.5374144995121295E-2</v>
      </c>
      <c r="L51" s="32">
        <f>STDEV($G$20:G51)*(12^0.5)</f>
        <v>3.1478105208766156E-2</v>
      </c>
      <c r="M51" s="43">
        <v>4.2589999999999998E-3</v>
      </c>
      <c r="N51" s="33">
        <f t="shared" ref="N51" si="106">+N50*(1+(M51*(B51-B50)/365))</f>
        <v>100.31976526093241</v>
      </c>
      <c r="O51" s="32">
        <f t="shared" ref="O51" si="107">+N51/100</f>
        <v>1.003197652609324</v>
      </c>
      <c r="P51" s="33">
        <f>COUNT($B$19:B51)/12</f>
        <v>2.75</v>
      </c>
      <c r="Q51" s="32">
        <f t="shared" ref="Q51" si="108">-1+(O51^(1/P51))</f>
        <v>1.1616017703506287E-3</v>
      </c>
      <c r="R51" s="44">
        <f t="shared" ref="R51" si="109">+(K51-Q51)/L51</f>
        <v>2.3575924514066253</v>
      </c>
    </row>
    <row r="52" spans="2:18">
      <c r="B52" s="29">
        <v>42825</v>
      </c>
      <c r="C52" s="30">
        <f>+C51</f>
        <v>125435958.93000001</v>
      </c>
      <c r="D52" s="31">
        <v>128141829.08</v>
      </c>
      <c r="E52" s="31">
        <v>0</v>
      </c>
      <c r="F52" s="31">
        <v>691085</v>
      </c>
      <c r="G52" s="32">
        <v>4.13219E-3</v>
      </c>
      <c r="H52" s="33">
        <f>+G52+1</f>
        <v>1.00413219</v>
      </c>
      <c r="I52" s="47">
        <f>+H52*H51*H50*H49*H48*H47*H46*H45*H44*H43*H42*H41*H40*H39*H38*H37*H36*H35*H34*H33*H32*H31*H30*H29*H28*H27*H26*H25*H24*H23*H22*H21*H20</f>
        <v>1.2146497852513634</v>
      </c>
      <c r="J52" s="39">
        <f>+I52-1</f>
        <v>0.21464978525136336</v>
      </c>
      <c r="K52" s="41">
        <f t="shared" ref="K52" si="110">+(1+J52)^(365/(B52-$B$19))-1</f>
        <v>7.4559929703702732E-2</v>
      </c>
      <c r="L52" s="32">
        <f>STDEV($G$20:G52)*(12^0.5)</f>
        <v>3.1002933711774962E-2</v>
      </c>
      <c r="M52" s="43">
        <v>7.2529999999999999E-3</v>
      </c>
      <c r="N52" s="33">
        <f t="shared" ref="N52" si="111">+N51*(1+(M52*(B52-B51)/365))</f>
        <v>100.38156306087917</v>
      </c>
      <c r="O52" s="32">
        <f t="shared" ref="O52" si="112">+N52/100</f>
        <v>1.0038156306087918</v>
      </c>
      <c r="P52" s="33">
        <f>COUNT($B$19:B52)/12</f>
        <v>2.8333333333333335</v>
      </c>
      <c r="Q52" s="32">
        <f>-1+(O52^(1/P52))</f>
        <v>1.3450341792842213E-3</v>
      </c>
      <c r="R52" s="44">
        <f>+(K52-Q52)/L52</f>
        <v>2.3615473362964803</v>
      </c>
    </row>
    <row r="53" spans="2:18">
      <c r="B53" s="29">
        <v>42855</v>
      </c>
      <c r="C53" s="30">
        <f>+C52+2303617</f>
        <v>127739575.93000001</v>
      </c>
      <c r="D53" s="31">
        <v>129865679.89</v>
      </c>
      <c r="E53" s="31">
        <v>0</v>
      </c>
      <c r="F53" s="31">
        <v>1382170.01</v>
      </c>
      <c r="G53" s="32">
        <v>6.2170999999999997E-3</v>
      </c>
      <c r="H53" s="33">
        <f>+G53+1</f>
        <v>1.0062171</v>
      </c>
      <c r="I53" s="47">
        <f>+H53*H52*H51*H50*H49*H48*H47*H46*H45*H44*H43*H42*H41*H40*H39*H38*H37*H36*H35*H34*H33*H32*H31*H30*H29*H28*H27*H26*H25*H24*H23*H22*H21*H20</f>
        <v>1.2222013844312509</v>
      </c>
      <c r="J53" s="39">
        <f>+I53-1</f>
        <v>0.22220138443125093</v>
      </c>
      <c r="K53" s="41">
        <f t="shared" ref="K53" si="113">+(1+J53)^(365/(B53-$B$19))-1</f>
        <v>7.4670751655355971E-2</v>
      </c>
      <c r="L53" s="32">
        <f>STDEV($G$20:G53)*(12^0.5)</f>
        <v>3.0529996291808147E-2</v>
      </c>
      <c r="M53" s="43">
        <v>6.5929999999999999E-3</v>
      </c>
      <c r="N53" s="33">
        <f t="shared" ref="N53" si="114">+N52*(1+(M53*(B53-B52)/365))</f>
        <v>100.43595886733893</v>
      </c>
      <c r="O53" s="32">
        <f t="shared" ref="O53" si="115">+N53/100</f>
        <v>1.0043595886733891</v>
      </c>
      <c r="P53" s="33">
        <f>COUNT($B$19:B53)/12</f>
        <v>2.9166666666666665</v>
      </c>
      <c r="Q53" s="32">
        <f>-1+(O53^(1/P53))</f>
        <v>1.4925801721779042E-3</v>
      </c>
      <c r="R53" s="44">
        <f>+(K53-Q53)/L53</f>
        <v>2.3969269692578816</v>
      </c>
    </row>
    <row r="54" spans="2:18">
      <c r="B54" s="29">
        <v>42886</v>
      </c>
      <c r="C54" s="30">
        <f>+C53</f>
        <v>127739575.93000001</v>
      </c>
      <c r="D54" s="31">
        <v>130069423.45999999</v>
      </c>
      <c r="E54" s="31">
        <v>0</v>
      </c>
      <c r="F54" s="31">
        <v>921446.67</v>
      </c>
      <c r="G54" s="32">
        <v>8.7261999999999999E-3</v>
      </c>
      <c r="H54" s="33">
        <f>+G54+1</f>
        <v>1.0087261999999999</v>
      </c>
      <c r="I54" s="47">
        <f>+H54*H53*H52*H51*H50*H49*H48*H47*H46*H45*H44*H43*H42*H41*H40*H39*H38*H37*H36*H35*H34*H33*H32*H31*H30*H29*H28*H27*H26*H25*H24*H23*H22*H21*H20</f>
        <v>1.2328665581520735</v>
      </c>
      <c r="J54" s="39">
        <f>+I54-1</f>
        <v>0.23286655815207347</v>
      </c>
      <c r="K54" s="41">
        <f t="shared" ref="K54" si="116">+(1+J54)^(365/(B54-$B$19))-1</f>
        <v>7.5633876849220849E-2</v>
      </c>
      <c r="L54" s="32">
        <f>STDEV($G$20:G54)*(12^0.5)</f>
        <v>3.0121374677203314E-2</v>
      </c>
      <c r="M54" s="49">
        <v>8.5730000000000008E-3</v>
      </c>
      <c r="N54" s="33">
        <f t="shared" ref="N54" si="117">+N53*(1+(M54*(B54-B53)/365))</f>
        <v>100.50908807757581</v>
      </c>
      <c r="O54" s="32">
        <f t="shared" ref="O54" si="118">+N54/100</f>
        <v>1.0050908807757581</v>
      </c>
      <c r="P54" s="33">
        <f>COUNT($B$19:B54)/12</f>
        <v>3</v>
      </c>
      <c r="Q54" s="32">
        <f>-1+(O54^(1/P54))</f>
        <v>1.6940887014154082E-3</v>
      </c>
      <c r="R54" s="44">
        <f>+(K54-Q54)/L54</f>
        <v>2.4547282101226644</v>
      </c>
    </row>
    <row r="55" spans="2:18" ht="5.25" customHeight="1">
      <c r="B55" s="29"/>
      <c r="C55" s="30"/>
      <c r="D55" s="31"/>
      <c r="E55" s="31"/>
      <c r="F55" s="31"/>
      <c r="G55" s="32"/>
      <c r="H55" s="32"/>
      <c r="I55" s="32"/>
      <c r="J55" s="39"/>
      <c r="K55" s="41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127739575.93000001</v>
      </c>
      <c r="D56" s="37">
        <f>+D54</f>
        <v>130069423.45999999</v>
      </c>
      <c r="E56" s="37">
        <f>+SUM(E20:E54)</f>
        <v>9649784</v>
      </c>
      <c r="F56" s="37">
        <f>+SUM(F20:F54)</f>
        <v>18701869.210000001</v>
      </c>
      <c r="G56" s="38">
        <f>G54</f>
        <v>8.7261999999999999E-3</v>
      </c>
      <c r="H56" s="38"/>
      <c r="I56" s="38"/>
      <c r="J56" s="40">
        <f>+J54</f>
        <v>0.23286655815207347</v>
      </c>
      <c r="K56" s="42">
        <f>+K54</f>
        <v>7.5633876849220849E-2</v>
      </c>
      <c r="L56" s="38">
        <f>+L54</f>
        <v>3.0121374677203314E-2</v>
      </c>
      <c r="M56" s="38"/>
      <c r="N56" s="38"/>
      <c r="O56" s="38"/>
      <c r="P56" s="38"/>
      <c r="Q56" s="38"/>
      <c r="R56" s="45">
        <f>R54</f>
        <v>2.4547282101226644</v>
      </c>
    </row>
    <row r="57" spans="2:18">
      <c r="B57" s="9"/>
      <c r="C57" s="2"/>
      <c r="D57" s="2"/>
      <c r="E57" s="8"/>
      <c r="F57" s="8"/>
      <c r="G57" s="8"/>
      <c r="H57" s="8"/>
      <c r="I57" s="8"/>
      <c r="J57" s="8"/>
      <c r="K57" s="4"/>
      <c r="L57" s="4"/>
      <c r="M57" s="4"/>
      <c r="N57" s="4"/>
      <c r="O57" s="4"/>
      <c r="P57" s="4"/>
      <c r="Q57" s="4"/>
      <c r="R57" s="4"/>
    </row>
    <row r="58" spans="2:18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2017-07-19T18:01:22Z</dcterms:modified>
</cp:coreProperties>
</file>