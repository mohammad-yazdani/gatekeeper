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K50" i="11" l="1"/>
  <c r="C54" i="11" l="1"/>
  <c r="C56" i="11" s="1"/>
  <c r="D56" i="11"/>
  <c r="E56" i="11"/>
  <c r="G56" i="11"/>
  <c r="F56" i="11"/>
  <c r="P54" i="11"/>
  <c r="L54" i="11"/>
  <c r="L56" i="11" s="1"/>
  <c r="H54" i="11"/>
  <c r="I54" i="11" s="1"/>
  <c r="J54" i="11" l="1"/>
  <c r="C53" i="11"/>
  <c r="H53" i="11"/>
  <c r="I53" i="11" s="1"/>
  <c r="J53" i="11" s="1"/>
  <c r="P53" i="11"/>
  <c r="L53" i="11"/>
  <c r="K54" i="11" l="1"/>
  <c r="J56" i="11"/>
  <c r="K53" i="11"/>
  <c r="C52" i="11"/>
  <c r="H52" i="11"/>
  <c r="P52" i="11"/>
  <c r="L52" i="11"/>
  <c r="K56" i="11" l="1"/>
  <c r="E14" i="11"/>
  <c r="C51" i="11"/>
  <c r="H51" i="11" l="1"/>
  <c r="P51" i="11"/>
  <c r="L51" i="11"/>
  <c r="I51" i="11" l="1"/>
  <c r="J51" i="11" s="1"/>
  <c r="I52" i="11"/>
  <c r="J52" i="11" s="1"/>
  <c r="K51" i="11"/>
  <c r="I50" i="11"/>
  <c r="H50" i="11"/>
  <c r="J50" i="11" s="1"/>
  <c r="C50" i="11"/>
  <c r="P50" i="11"/>
  <c r="L50" i="11"/>
  <c r="K52" i="11" l="1"/>
  <c r="C49" i="11"/>
  <c r="K49" i="11"/>
  <c r="F13" i="11" l="1"/>
  <c r="P49" i="11"/>
  <c r="L49" i="11"/>
  <c r="H49" i="11"/>
  <c r="I49" i="11" s="1"/>
  <c r="J49" i="11" s="1"/>
  <c r="K48" i="11" l="1"/>
  <c r="H48" i="11" l="1"/>
  <c r="I48" i="11" s="1"/>
  <c r="J48" i="11" s="1"/>
  <c r="P48" i="11"/>
  <c r="L48" i="11"/>
  <c r="C48" i="11"/>
  <c r="I47" i="11" l="1"/>
  <c r="H47" i="11"/>
  <c r="P47" i="11"/>
  <c r="N47" i="11"/>
  <c r="L47" i="11"/>
  <c r="J47" i="11"/>
  <c r="K47" i="11" s="1"/>
  <c r="C47" i="11"/>
  <c r="O47" i="11" l="1"/>
  <c r="Q47" i="11" s="1"/>
  <c r="N48" i="11"/>
  <c r="R47" i="11"/>
  <c r="H46" i="11"/>
  <c r="I46" i="11" s="1"/>
  <c r="J46" i="11" s="1"/>
  <c r="P46" i="11"/>
  <c r="N46" i="11"/>
  <c r="O46" i="11" s="1"/>
  <c r="L46" i="11"/>
  <c r="C46" i="11"/>
  <c r="O48" i="11" l="1"/>
  <c r="Q48" i="11" s="1"/>
  <c r="R48" i="11" s="1"/>
  <c r="N49" i="11"/>
  <c r="K46" i="11"/>
  <c r="Q46" i="11"/>
  <c r="R46" i="11" s="1"/>
  <c r="I45" i="11"/>
  <c r="H45" i="11"/>
  <c r="J45" i="11" s="1"/>
  <c r="P45" i="11"/>
  <c r="N45" i="11"/>
  <c r="O45" i="11" s="1"/>
  <c r="L45" i="11"/>
  <c r="C45" i="11"/>
  <c r="O49" i="11" l="1"/>
  <c r="Q49" i="11" s="1"/>
  <c r="R49" i="11" s="1"/>
  <c r="N50" i="11"/>
  <c r="K45" i="11"/>
  <c r="Q45" i="11"/>
  <c r="I44" i="11"/>
  <c r="J44" i="11"/>
  <c r="F44" i="11"/>
  <c r="C44" i="11"/>
  <c r="O50" i="11" l="1"/>
  <c r="Q50" i="11" s="1"/>
  <c r="R50" i="11" s="1"/>
  <c r="N51" i="11"/>
  <c r="R45" i="11"/>
  <c r="C27" i="11"/>
  <c r="C24" i="11"/>
  <c r="P44" i="11"/>
  <c r="N44" i="11"/>
  <c r="O44" i="11" s="1"/>
  <c r="Q44" i="11" s="1"/>
  <c r="L44" i="11"/>
  <c r="H44" i="11"/>
  <c r="O51" i="11" l="1"/>
  <c r="Q51" i="11" s="1"/>
  <c r="R51" i="11" s="1"/>
  <c r="N52" i="11"/>
  <c r="K44" i="11"/>
  <c r="I43" i="11"/>
  <c r="P43" i="11"/>
  <c r="L43" i="11"/>
  <c r="H43" i="11"/>
  <c r="O52" i="11" l="1"/>
  <c r="Q52" i="11" s="1"/>
  <c r="R52" i="11" s="1"/>
  <c r="N53" i="11"/>
  <c r="R44" i="11"/>
  <c r="J43" i="11"/>
  <c r="H42" i="11"/>
  <c r="I42" i="11" s="1"/>
  <c r="J42" i="11" s="1"/>
  <c r="P42" i="11"/>
  <c r="N42" i="11"/>
  <c r="L42" i="11"/>
  <c r="O53" i="11" l="1"/>
  <c r="Q53" i="11" s="1"/>
  <c r="R53" i="11" s="1"/>
  <c r="N54" i="11"/>
  <c r="O54" i="11" s="1"/>
  <c r="Q54" i="11" s="1"/>
  <c r="R54" i="11" s="1"/>
  <c r="R56" i="11" s="1"/>
  <c r="K43" i="11"/>
  <c r="O42" i="11"/>
  <c r="Q42" i="11" s="1"/>
  <c r="N43" i="11"/>
  <c r="O43" i="11" s="1"/>
  <c r="Q43" i="11" s="1"/>
  <c r="K42" i="11"/>
  <c r="I41" i="11"/>
  <c r="J41" i="11"/>
  <c r="K41" i="11" s="1"/>
  <c r="H41" i="11"/>
  <c r="P41" i="11"/>
  <c r="N41" i="11"/>
  <c r="O41" i="11" s="1"/>
  <c r="Q41" i="11" s="1"/>
  <c r="L41" i="11"/>
  <c r="R43" i="11" l="1"/>
  <c r="R42" i="11"/>
  <c r="R41" i="11"/>
  <c r="H40" i="11"/>
  <c r="P40" i="11" l="1"/>
  <c r="N40" i="11"/>
  <c r="O40" i="11" s="1"/>
  <c r="Q40" i="11" s="1"/>
  <c r="L40" i="11"/>
  <c r="H39" i="11" l="1"/>
  <c r="P39" i="11"/>
  <c r="N39" i="11"/>
  <c r="O39" i="11" s="1"/>
  <c r="Q39" i="11" s="1"/>
  <c r="L39" i="11"/>
  <c r="H38" i="11" l="1"/>
  <c r="P38" i="11"/>
  <c r="L38" i="11"/>
  <c r="H37" i="11" l="1"/>
  <c r="P37" i="11" l="1"/>
  <c r="L37" i="11"/>
  <c r="H36" i="11" l="1"/>
  <c r="P36" i="11"/>
  <c r="L36" i="11"/>
  <c r="H35" i="11" l="1"/>
  <c r="P35" i="11"/>
  <c r="L35" i="11"/>
  <c r="H34" i="11" l="1"/>
  <c r="P34" i="11"/>
  <c r="L34" i="11"/>
  <c r="P33" i="11" l="1"/>
  <c r="L33" i="11"/>
  <c r="H33" i="11"/>
  <c r="H32" i="11" l="1"/>
  <c r="P32" i="11"/>
  <c r="L32" i="11"/>
  <c r="H31" i="11" l="1"/>
  <c r="P31" i="11"/>
  <c r="L31" i="11"/>
  <c r="H30" i="11" l="1"/>
  <c r="P30" i="11"/>
  <c r="L30" i="11"/>
  <c r="P29" i="11" l="1"/>
  <c r="H29" i="11"/>
  <c r="L29" i="11"/>
  <c r="L21" i="11" l="1"/>
  <c r="L28" i="11"/>
  <c r="H28" i="11"/>
  <c r="H22" i="11"/>
  <c r="C21" i="11"/>
  <c r="C22" i="11" s="1"/>
  <c r="C23" i="11" l="1"/>
  <c r="H23" i="11"/>
  <c r="P28" i="11"/>
  <c r="P27" i="11"/>
  <c r="L27" i="11"/>
  <c r="H27" i="11"/>
  <c r="C25" i="11" l="1"/>
  <c r="C26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H20" i="11"/>
  <c r="I20" i="11" s="1"/>
  <c r="J20" i="11" s="1"/>
  <c r="C38" i="11" l="1"/>
  <c r="C39" i="11" s="1"/>
  <c r="C40" i="11" s="1"/>
  <c r="C41" i="11" s="1"/>
  <c r="C42" i="11" s="1"/>
  <c r="C43" i="11" s="1"/>
  <c r="K20" i="11"/>
  <c r="P26" i="11" l="1"/>
  <c r="P25" i="11"/>
  <c r="P24" i="11"/>
  <c r="P23" i="11"/>
  <c r="P22" i="11"/>
  <c r="P21" i="11"/>
  <c r="P20" i="11"/>
  <c r="N21" i="11"/>
  <c r="N22" i="11" s="1"/>
  <c r="N23" i="11" s="1"/>
  <c r="N24" i="11" s="1"/>
  <c r="N25" i="11" s="1"/>
  <c r="N26" i="11" s="1"/>
  <c r="N27" i="11" s="1"/>
  <c r="L24" i="11"/>
  <c r="L23" i="11"/>
  <c r="L22" i="11"/>
  <c r="O27" i="11" l="1"/>
  <c r="Q27" i="11" s="1"/>
  <c r="N28" i="11"/>
  <c r="O28" i="11" l="1"/>
  <c r="Q28" i="11" s="1"/>
  <c r="N29" i="11"/>
  <c r="O20" i="11"/>
  <c r="N30" i="11" l="1"/>
  <c r="O29" i="11"/>
  <c r="Q29" i="11" s="1"/>
  <c r="L26" i="11"/>
  <c r="L25" i="11"/>
  <c r="O30" i="11" l="1"/>
  <c r="Q30" i="11" s="1"/>
  <c r="N31" i="11"/>
  <c r="H26" i="11"/>
  <c r="N32" i="11" l="1"/>
  <c r="O31" i="11"/>
  <c r="Q31" i="11" s="1"/>
  <c r="H25" i="11"/>
  <c r="O32" i="11" l="1"/>
  <c r="Q32" i="11" s="1"/>
  <c r="N33" i="11"/>
  <c r="H24" i="11"/>
  <c r="O33" i="11" l="1"/>
  <c r="Q33" i="11" s="1"/>
  <c r="N34" i="11"/>
  <c r="O23" i="11"/>
  <c r="O21" i="11"/>
  <c r="O22" i="11"/>
  <c r="O34" i="11" l="1"/>
  <c r="Q34" i="11" s="1"/>
  <c r="N35" i="11"/>
  <c r="O24" i="11"/>
  <c r="O35" i="11" l="1"/>
  <c r="Q35" i="11" s="1"/>
  <c r="N36" i="11"/>
  <c r="O25" i="11"/>
  <c r="O26" i="11"/>
  <c r="O36" i="11" l="1"/>
  <c r="Q36" i="11" s="1"/>
  <c r="N37" i="11"/>
  <c r="Q25" i="11"/>
  <c r="Q26" i="11"/>
  <c r="Q23" i="11"/>
  <c r="Q24" i="11"/>
  <c r="Q22" i="11"/>
  <c r="Q20" i="11"/>
  <c r="Q21" i="11"/>
  <c r="O37" i="11" l="1"/>
  <c r="Q37" i="11" s="1"/>
  <c r="N38" i="11"/>
  <c r="O38" i="11" s="1"/>
  <c r="Q38" i="11" s="1"/>
  <c r="H21" i="11"/>
  <c r="I40" i="11" l="1"/>
  <c r="J40" i="11" s="1"/>
  <c r="I39" i="11"/>
  <c r="J39" i="11" s="1"/>
  <c r="K39" i="11" s="1"/>
  <c r="R39" i="11" s="1"/>
  <c r="I37" i="11"/>
  <c r="J37" i="11" s="1"/>
  <c r="I38" i="11"/>
  <c r="J38" i="11" s="1"/>
  <c r="I21" i="11"/>
  <c r="I22" i="11"/>
  <c r="I23" i="11"/>
  <c r="I32" i="11"/>
  <c r="J32" i="11" s="1"/>
  <c r="K32" i="11" s="1"/>
  <c r="R32" i="11" s="1"/>
  <c r="I28" i="11"/>
  <c r="I33" i="11"/>
  <c r="J33" i="11" s="1"/>
  <c r="K33" i="11" s="1"/>
  <c r="R33" i="11" s="1"/>
  <c r="I26" i="11"/>
  <c r="J26" i="11" s="1"/>
  <c r="K26" i="11" s="1"/>
  <c r="I36" i="11"/>
  <c r="J36" i="11" s="1"/>
  <c r="K36" i="11" s="1"/>
  <c r="R36" i="11" s="1"/>
  <c r="I29" i="11"/>
  <c r="J29" i="11" s="1"/>
  <c r="K29" i="11" s="1"/>
  <c r="R29" i="11" s="1"/>
  <c r="I35" i="11"/>
  <c r="J35" i="11" s="1"/>
  <c r="K35" i="11" s="1"/>
  <c r="R35" i="11" s="1"/>
  <c r="I24" i="11"/>
  <c r="J24" i="11" s="1"/>
  <c r="K24" i="11" s="1"/>
  <c r="R24" i="11" s="1"/>
  <c r="I27" i="11"/>
  <c r="I30" i="11"/>
  <c r="J30" i="11" s="1"/>
  <c r="K30" i="11" s="1"/>
  <c r="R30" i="11" s="1"/>
  <c r="I31" i="11"/>
  <c r="J31" i="11" s="1"/>
  <c r="K31" i="11" s="1"/>
  <c r="R31" i="11" s="1"/>
  <c r="I34" i="11"/>
  <c r="J34" i="11" s="1"/>
  <c r="K34" i="11" s="1"/>
  <c r="R34" i="11" s="1"/>
  <c r="I25" i="11"/>
  <c r="J28" i="11"/>
  <c r="J25" i="11"/>
  <c r="K25" i="11" s="1"/>
  <c r="R25" i="11" s="1"/>
  <c r="J23" i="11"/>
  <c r="J22" i="11"/>
  <c r="K22" i="11" s="1"/>
  <c r="R22" i="11" s="1"/>
  <c r="J21" i="11"/>
  <c r="J27" i="11"/>
  <c r="K27" i="11" s="1"/>
  <c r="R27" i="11" s="1"/>
  <c r="K40" i="11" l="1"/>
  <c r="K38" i="11"/>
  <c r="K37" i="11"/>
  <c r="K21" i="11"/>
  <c r="R21" i="11" s="1"/>
  <c r="K28" i="11"/>
  <c r="R40" i="11" l="1"/>
  <c r="R38" i="11"/>
  <c r="R37" i="11"/>
  <c r="R28" i="11"/>
  <c r="R26" i="11"/>
  <c r="K23" i="11"/>
  <c r="R23" i="11" s="1"/>
</calcChain>
</file>

<file path=xl/sharedStrings.xml><?xml version="1.0" encoding="utf-8"?>
<sst xmlns="http://schemas.openxmlformats.org/spreadsheetml/2006/main" count="32" uniqueCount="26">
  <si>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</si>
  <si>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</si>
  <si>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</si>
  <si>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</si>
  <si>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</si>
  <si>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</si>
  <si>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</si>
  <si>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</si>
  <si>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</si>
  <si>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</si>
  <si>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</si>
  <si>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</si>
  <si>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</si>
  <si>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</si>
  <si>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</si>
  <si>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</si>
  <si>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</si>
  <si>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</si>
  <si>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</si>
  <si>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</si>
  <si>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</si>
  <si>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</si>
  <si>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>Municipal Employees' Retirement System of Michigan</t>
  </si>
  <si>
    <t>Unhide</t>
  </si>
  <si>
    <t>Returns of Capital</t>
  </si>
  <si>
    <t>As Per Mike - there was error in the CITI MERS return calc.  It should have been +0.41% for the month of July.  See email jan 29th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</si>
</sst>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([$$-409]* #,##0_);_([$$-409]* \(#,##0\);_([$$-409]* &quot;-&quot;??_);_(@_)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3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67" fontId="55" fillId="46" borderId="0" xfId="0" applyFont="1" applyFill="1" applyAlignment="1">
      <alignment horizontal="right"/>
    </xf>
    <xf numFmtId="10" fontId="54" fillId="49" borderId="0" xfId="31499" applyNumberFormat="1" applyFont="1" applyFill="1" applyBorder="1"/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72" fontId="54" fillId="46" borderId="0" xfId="0" applyNumberFormat="1" applyFont="1" applyFill="1" applyBorder="1"/>
    <xf numFmtId="165" fontId="54" fillId="49" borderId="0" xfId="0" applyNumberFormat="1" applyFont="1" applyFill="1" applyBorder="1"/>
    <xf numFmtId="10" fontId="56" fillId="46" borderId="0" xfId="31499" applyNumberFormat="1" applyFont="1" applyFill="1" applyAlignment="1">
      <alignment horizontal="left" wrapText="1"/>
    </xf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171450</xdr:rowOff>
    </xdr:from>
    <xdr:to>
      <xdr:col>6</xdr:col>
      <xdr:colOff>762000</xdr:colOff>
      <xdr:row>6</xdr:row>
      <xdr:rowOff>52654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17145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R58"/>
  <sheetViews>
    <sheetView tabSelected="1" topLeftCell="A5" workbookViewId="0">
      <selection activeCell="F13" sqref="F13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6.85546875" style="3" customWidth="1"/>
    <col min="6" max="6" width="16" style="3" customWidth="1"/>
    <col min="7" max="7" width="19" style="3" customWidth="1"/>
    <col min="8" max="8" width="19" style="3" hidden="1" customWidth="1"/>
    <col min="9" max="9" width="16.42578125" style="3" hidden="1" customWidth="1"/>
    <col min="10" max="10" width="16.7109375" style="3" customWidth="1"/>
    <col min="11" max="11" width="17" style="3" customWidth="1"/>
    <col min="12" max="16" width="14.85546875" style="3" customWidth="1"/>
    <col min="17" max="17" width="14" style="3" customWidth="1"/>
    <col min="18" max="16384" width="9.140625" style="3"/>
  </cols>
  <sheetData>
    <row r="2" spans="2:18">
      <c r="J2" s="11"/>
      <c r="K2" s="11"/>
      <c r="L2" s="11"/>
      <c r="M2" s="11"/>
      <c r="N2" s="11"/>
      <c r="O2" s="11"/>
      <c r="P2" s="11"/>
      <c r="Q2" s="11"/>
    </row>
    <row r="3" spans="2:18">
      <c r="J3" s="11"/>
      <c r="K3" s="11"/>
      <c r="L3" s="11"/>
      <c r="M3" s="11"/>
      <c r="N3" s="11"/>
      <c r="O3" s="11"/>
      <c r="P3" s="11"/>
      <c r="Q3" s="11"/>
    </row>
    <row r="4" spans="2:18">
      <c r="J4" s="11"/>
      <c r="K4" s="11"/>
      <c r="L4" s="11"/>
      <c r="M4" s="11"/>
      <c r="N4" s="11"/>
      <c r="O4" s="11"/>
      <c r="P4" s="11"/>
      <c r="Q4" s="11"/>
    </row>
    <row r="5" spans="2:18">
      <c r="J5" s="11"/>
      <c r="K5" s="11"/>
      <c r="L5" s="11"/>
      <c r="M5" s="11"/>
      <c r="N5" s="11"/>
      <c r="O5" s="11"/>
      <c r="P5" s="11"/>
      <c r="Q5" s="11"/>
    </row>
    <row r="6" spans="2:18">
      <c r="J6" s="11"/>
      <c r="K6" s="11"/>
      <c r="L6" s="11"/>
      <c r="M6" s="11"/>
      <c r="N6" s="11"/>
      <c r="O6" s="11"/>
      <c r="P6" s="11"/>
      <c r="Q6" s="11"/>
    </row>
    <row r="7" spans="2:18">
      <c r="J7" s="11"/>
      <c r="K7" s="11"/>
      <c r="L7" s="11"/>
      <c r="M7" s="11"/>
      <c r="N7" s="11"/>
      <c r="O7" s="11"/>
      <c r="P7" s="11"/>
      <c r="Q7" s="11"/>
    </row>
    <row r="8" spans="2:18">
      <c r="J8" s="11"/>
      <c r="K8" s="11"/>
      <c r="L8" s="11"/>
      <c r="M8" s="11"/>
      <c r="N8" s="11"/>
      <c r="O8" s="11"/>
      <c r="P8" s="11"/>
      <c r="Q8" s="11"/>
    </row>
    <row r="9" spans="2:18" s="1" customFormat="1" ht="15.75" customHeight="1">
      <c r="B9" s="5" t="s">
        <v>2</v>
      </c>
      <c r="D9" s="25"/>
      <c r="E9" s="26" t="s">
        <v>21</v>
      </c>
      <c r="G9" s="15"/>
      <c r="H9" s="15"/>
      <c r="J9" s="11"/>
      <c r="K9" s="52" t="s">
        <v>25</v>
      </c>
      <c r="L9" s="52"/>
      <c r="M9" s="52"/>
      <c r="N9" s="52"/>
      <c r="O9" s="52"/>
      <c r="P9" s="52"/>
      <c r="Q9" s="52"/>
      <c r="R9" s="52"/>
    </row>
    <row r="10" spans="2:18" s="1" customFormat="1">
      <c r="B10" s="5" t="s">
        <v>3</v>
      </c>
      <c r="D10" s="25"/>
      <c r="E10" s="26" t="s">
        <v>22</v>
      </c>
      <c r="G10" s="15"/>
      <c r="H10" s="15"/>
      <c r="J10" s="11"/>
      <c r="K10" s="11"/>
      <c r="L10" s="11"/>
      <c r="M10" s="11"/>
      <c r="N10" s="11"/>
      <c r="O10" s="11"/>
      <c r="P10" s="11"/>
      <c r="Q10" s="11"/>
    </row>
    <row r="11" spans="2:18" s="1" customFormat="1">
      <c r="B11" s="5" t="s">
        <v>4</v>
      </c>
      <c r="D11" s="25"/>
      <c r="E11" s="27">
        <v>42886</v>
      </c>
      <c r="G11" s="16"/>
      <c r="H11" s="16"/>
    </row>
    <row r="12" spans="2:18" s="1" customFormat="1">
      <c r="B12" s="5" t="s">
        <v>19</v>
      </c>
      <c r="D12" s="25"/>
      <c r="E12" s="28">
        <v>10</v>
      </c>
      <c r="G12" s="16"/>
      <c r="H12" s="16"/>
    </row>
    <row r="13" spans="2:18" s="1" customFormat="1">
      <c r="B13" s="5" t="s">
        <v>12</v>
      </c>
      <c r="D13" s="25"/>
      <c r="E13" s="28">
        <v>150000000</v>
      </c>
      <c r="F13" s="49">
        <f>E13-E14</f>
        <v>127739576.11000001</v>
      </c>
      <c r="G13" s="17"/>
      <c r="H13" s="17"/>
    </row>
    <row r="14" spans="2:18" s="1" customFormat="1">
      <c r="B14" s="5" t="s">
        <v>5</v>
      </c>
      <c r="D14" s="25"/>
      <c r="E14" s="28">
        <f>E13-C56</f>
        <v>22260423.889999986</v>
      </c>
      <c r="F14" s="46" t="s">
        <v>23</v>
      </c>
      <c r="G14" s="17"/>
      <c r="H14" s="17"/>
    </row>
    <row r="15" spans="2:18" s="1" customFormat="1">
      <c r="B15" s="5"/>
      <c r="D15" s="6"/>
      <c r="F15" s="7"/>
      <c r="G15" s="7"/>
      <c r="H15" s="7"/>
    </row>
    <row r="16" spans="2:18" s="1" customFormat="1">
      <c r="B16" s="5"/>
      <c r="D16" s="6"/>
      <c r="F16" s="7"/>
      <c r="G16" s="7"/>
      <c r="H16" s="7"/>
    </row>
    <row r="17" spans="2:18">
      <c r="C17" s="19" t="s">
        <v>6</v>
      </c>
      <c r="D17" s="20" t="s">
        <v>6</v>
      </c>
      <c r="E17" s="20" t="s">
        <v>6</v>
      </c>
      <c r="F17" s="20" t="s">
        <v>6</v>
      </c>
      <c r="G17" s="20" t="s">
        <v>10</v>
      </c>
      <c r="H17" s="20"/>
      <c r="I17" s="20"/>
      <c r="J17" s="21" t="s">
        <v>11</v>
      </c>
      <c r="K17" s="19" t="s">
        <v>8</v>
      </c>
      <c r="L17" s="20" t="s">
        <v>15</v>
      </c>
      <c r="M17" s="20"/>
      <c r="N17" s="20"/>
      <c r="O17" s="20"/>
      <c r="P17" s="20"/>
      <c r="Q17" s="20"/>
      <c r="R17" s="21" t="s">
        <v>15</v>
      </c>
    </row>
    <row r="18" spans="2:18" ht="14.25" customHeight="1">
      <c r="B18" s="18" t="s">
        <v>0</v>
      </c>
      <c r="C18" s="22" t="s">
        <v>1</v>
      </c>
      <c r="D18" s="23" t="s">
        <v>18</v>
      </c>
      <c r="E18" s="23" t="s">
        <v>24</v>
      </c>
      <c r="F18" s="23" t="s">
        <v>20</v>
      </c>
      <c r="G18" s="23" t="s">
        <v>7</v>
      </c>
      <c r="H18" s="23"/>
      <c r="I18" s="23"/>
      <c r="J18" s="24" t="s">
        <v>9</v>
      </c>
      <c r="K18" s="22" t="s">
        <v>9</v>
      </c>
      <c r="L18" s="23" t="s">
        <v>16</v>
      </c>
      <c r="M18" s="23" t="s">
        <v>17</v>
      </c>
      <c r="N18" s="23"/>
      <c r="O18" s="23"/>
      <c r="P18" s="23"/>
      <c r="Q18" s="23"/>
      <c r="R18" s="24" t="s">
        <v>14</v>
      </c>
    </row>
    <row r="19" spans="2:18" hidden="1">
      <c r="B19" s="10">
        <v>41838</v>
      </c>
      <c r="C19" s="12"/>
      <c r="D19" s="13"/>
      <c r="E19" s="13"/>
      <c r="F19" s="13"/>
      <c r="G19" s="13"/>
      <c r="H19" s="13"/>
      <c r="I19" s="13"/>
      <c r="J19" s="14"/>
      <c r="K19" s="12"/>
      <c r="L19" s="13"/>
      <c r="M19" s="13" t="s">
        <v>17</v>
      </c>
      <c r="N19" s="13"/>
      <c r="O19" s="13"/>
      <c r="P19" s="13"/>
      <c r="Q19" s="13"/>
      <c r="R19" s="14"/>
    </row>
    <row r="20" spans="2:18">
      <c r="B20" s="29">
        <v>41851</v>
      </c>
      <c r="C20" s="30">
        <v>14463000</v>
      </c>
      <c r="D20" s="31">
        <v>14430451.927999999</v>
      </c>
      <c r="E20" s="31">
        <v>0</v>
      </c>
      <c r="F20" s="31">
        <v>0</v>
      </c>
      <c r="G20" s="32">
        <v>-2.2499999999999998E-3</v>
      </c>
      <c r="H20" s="32">
        <f>+G20+1</f>
        <v>0.99775000000000003</v>
      </c>
      <c r="I20" s="47">
        <f>+H20</f>
        <v>0.99775000000000003</v>
      </c>
      <c r="J20" s="39">
        <f t="shared" ref="J20:J28" si="0">+I20-1</f>
        <v>-2.2499999999999742E-3</v>
      </c>
      <c r="K20" s="41">
        <f t="shared" ref="K20:K38" si="1">+(1+J20)^(365/(B20-$B$19))-1</f>
        <v>-6.1285838458661979E-2</v>
      </c>
      <c r="L20" s="32"/>
      <c r="M20" s="43">
        <v>0</v>
      </c>
      <c r="N20" s="34">
        <v>100</v>
      </c>
      <c r="O20" s="32">
        <f>+N20/100</f>
        <v>1</v>
      </c>
      <c r="P20" s="33">
        <f>COUNT($B$19:B20)/12</f>
        <v>0.16666666666666666</v>
      </c>
      <c r="Q20" s="32">
        <f t="shared" ref="Q20:Q25" si="2">-1+(O20^(1/P20))</f>
        <v>0</v>
      </c>
      <c r="R20" s="39"/>
    </row>
    <row r="21" spans="2:18">
      <c r="B21" s="29">
        <v>41882</v>
      </c>
      <c r="C21" s="30">
        <f>+C20</f>
        <v>14463000</v>
      </c>
      <c r="D21" s="31">
        <v>14531399.08</v>
      </c>
      <c r="E21" s="31">
        <v>0</v>
      </c>
      <c r="F21" s="31">
        <v>0</v>
      </c>
      <c r="G21" s="32">
        <v>6.9950000000000003E-3</v>
      </c>
      <c r="H21" s="32">
        <f t="shared" ref="H21:H25" si="3">+G21+1</f>
        <v>1.0069950000000001</v>
      </c>
      <c r="I21" s="47">
        <f>+H21*H20</f>
        <v>1.0047292612500001</v>
      </c>
      <c r="J21" s="39">
        <f t="shared" si="0"/>
        <v>4.7292612500000608E-3</v>
      </c>
      <c r="K21" s="41">
        <f t="shared" si="1"/>
        <v>3.9914913098757943E-2</v>
      </c>
      <c r="L21" s="32">
        <f>STDEV($G$20:G21)*(12^0.5)</f>
        <v>2.2645532672030479E-2</v>
      </c>
      <c r="M21" s="43">
        <v>1.01E-4</v>
      </c>
      <c r="N21" s="33">
        <f t="shared" ref="N21:N38" si="4">+N20*(1+(M21*(B21-B20)/365))</f>
        <v>100.00085780821917</v>
      </c>
      <c r="O21" s="32">
        <f t="shared" ref="O21:O25" si="5">+N21/100</f>
        <v>1.0000085780821917</v>
      </c>
      <c r="P21" s="33">
        <f>COUNT($B$19:B21)/12</f>
        <v>0.25</v>
      </c>
      <c r="Q21" s="32">
        <f t="shared" si="2"/>
        <v>3.431277027043933E-5</v>
      </c>
      <c r="R21" s="44">
        <f t="shared" ref="R21:R26" si="6">+(K21-Q21)/L21</f>
        <v>1.7610802495162357</v>
      </c>
    </row>
    <row r="22" spans="2:18">
      <c r="B22" s="29">
        <v>41912</v>
      </c>
      <c r="C22" s="30">
        <f>+C21+19470000+3030000</f>
        <v>36963000</v>
      </c>
      <c r="D22" s="31">
        <v>36663235.789999999</v>
      </c>
      <c r="E22" s="31">
        <v>0</v>
      </c>
      <c r="F22" s="31">
        <v>0</v>
      </c>
      <c r="G22" s="32">
        <v>-9.9419999999999994E-3</v>
      </c>
      <c r="H22" s="33">
        <f>+G22+1</f>
        <v>0.99005799999999999</v>
      </c>
      <c r="I22" s="48">
        <f>+H22*H21*H20</f>
        <v>0.99474024293465269</v>
      </c>
      <c r="J22" s="39">
        <f t="shared" si="0"/>
        <v>-5.2597570653473147E-3</v>
      </c>
      <c r="K22" s="41">
        <f t="shared" si="1"/>
        <v>-2.5676470327593903E-2</v>
      </c>
      <c r="L22" s="32">
        <f>STDEV($G$20:G22)*(12^0.5)</f>
        <v>2.9376822768978947E-2</v>
      </c>
      <c r="M22" s="43">
        <v>1.01E-4</v>
      </c>
      <c r="N22" s="33">
        <f t="shared" si="4"/>
        <v>100.00168795232646</v>
      </c>
      <c r="O22" s="32">
        <f t="shared" si="5"/>
        <v>1.0000168795232647</v>
      </c>
      <c r="P22" s="33">
        <f>COUNT($B$19:B22)/12</f>
        <v>0.33333333333333331</v>
      </c>
      <c r="Q22" s="32">
        <f t="shared" si="2"/>
        <v>5.0639424553855505E-5</v>
      </c>
      <c r="R22" s="44">
        <f t="shared" si="6"/>
        <v>-0.87576215966128312</v>
      </c>
    </row>
    <row r="23" spans="2:18">
      <c r="B23" s="29">
        <v>41943</v>
      </c>
      <c r="C23" s="30">
        <f>+C22</f>
        <v>36963000</v>
      </c>
      <c r="D23" s="31">
        <v>36540828.719999999</v>
      </c>
      <c r="E23" s="31">
        <v>0</v>
      </c>
      <c r="F23" s="31">
        <v>230348.77</v>
      </c>
      <c r="G23" s="32">
        <v>2.9629999999999999E-3</v>
      </c>
      <c r="H23" s="33">
        <f>+G23+1</f>
        <v>1.002963</v>
      </c>
      <c r="I23" s="48">
        <f>+H23*H22*H21*H20</f>
        <v>0.99768765827446804</v>
      </c>
      <c r="J23" s="39">
        <f t="shared" si="0"/>
        <v>-2.3123417255319634E-3</v>
      </c>
      <c r="K23" s="41">
        <f t="shared" si="1"/>
        <v>-8.0151540746857819E-3</v>
      </c>
      <c r="L23" s="32">
        <f>STDEV($G$20:G23)*(12^0.5)</f>
        <v>2.5327263492134322E-2</v>
      </c>
      <c r="M23" s="43">
        <v>-5.1E-5</v>
      </c>
      <c r="N23" s="33">
        <f t="shared" si="4"/>
        <v>100.00125479433015</v>
      </c>
      <c r="O23" s="32">
        <f t="shared" si="5"/>
        <v>1.0000125479433015</v>
      </c>
      <c r="P23" s="33">
        <f>COUNT($B$19:B23)/12</f>
        <v>0.41666666666666669</v>
      </c>
      <c r="Q23" s="32">
        <f t="shared" si="2"/>
        <v>3.0115328441659983E-5</v>
      </c>
      <c r="R23" s="44">
        <f t="shared" si="6"/>
        <v>-0.31765253303524066</v>
      </c>
    </row>
    <row r="24" spans="2:18">
      <c r="B24" s="29">
        <v>41973</v>
      </c>
      <c r="C24" s="30">
        <f>+C23+4608000</f>
        <v>41571000</v>
      </c>
      <c r="D24" s="31">
        <v>41287254.869999997</v>
      </c>
      <c r="E24" s="31">
        <v>0</v>
      </c>
      <c r="F24" s="31">
        <v>0</v>
      </c>
      <c r="G24" s="32">
        <v>3.3639999999999998E-3</v>
      </c>
      <c r="H24" s="33">
        <f t="shared" si="3"/>
        <v>1.0033639999999999</v>
      </c>
      <c r="I24" s="48">
        <f>+H24*H23*H22*H21*H20</f>
        <v>1.0010438795569034</v>
      </c>
      <c r="J24" s="39">
        <f t="shared" si="0"/>
        <v>1.0438795569034376E-3</v>
      </c>
      <c r="K24" s="41">
        <f t="shared" si="1"/>
        <v>2.824851351082236E-3</v>
      </c>
      <c r="L24" s="32">
        <f>STDEV($G$20:G24)*(12^0.5)</f>
        <v>2.2760253118100419E-2</v>
      </c>
      <c r="M24" s="43">
        <v>3.5500000000000001E-4</v>
      </c>
      <c r="N24" s="33">
        <f t="shared" si="4"/>
        <v>100.00417263916181</v>
      </c>
      <c r="O24" s="32">
        <f t="shared" si="5"/>
        <v>1.0000417263916181</v>
      </c>
      <c r="P24" s="33">
        <f>COUNT($B$19:B24)/12</f>
        <v>0.5</v>
      </c>
      <c r="Q24" s="32">
        <f t="shared" si="2"/>
        <v>8.3454524328008262E-5</v>
      </c>
      <c r="R24" s="44">
        <f t="shared" si="6"/>
        <v>0.12044667572585528</v>
      </c>
    </row>
    <row r="25" spans="2:18">
      <c r="B25" s="29">
        <v>42004</v>
      </c>
      <c r="C25" s="30">
        <f>+C24</f>
        <v>41571000</v>
      </c>
      <c r="D25" s="31">
        <v>41237154.219999999</v>
      </c>
      <c r="E25" s="31">
        <v>0</v>
      </c>
      <c r="F25" s="31">
        <v>0</v>
      </c>
      <c r="G25" s="32">
        <v>-1.2130000000000001E-3</v>
      </c>
      <c r="H25" s="33">
        <f t="shared" si="3"/>
        <v>0.99878699999999998</v>
      </c>
      <c r="I25" s="48">
        <f>+H25*H24*H23*H22*H21*H20</f>
        <v>0.99982961333100073</v>
      </c>
      <c r="J25" s="39">
        <f t="shared" si="0"/>
        <v>-1.7038666899926724E-4</v>
      </c>
      <c r="K25" s="41">
        <f t="shared" si="1"/>
        <v>-3.7460712479386871E-4</v>
      </c>
      <c r="L25" s="32">
        <f>STDEV($G$20:G25)*(12^0.5)</f>
        <v>2.0458854796884404E-2</v>
      </c>
      <c r="M25" s="43">
        <v>1.01E-4</v>
      </c>
      <c r="N25" s="33">
        <f t="shared" si="4"/>
        <v>100.00503048317422</v>
      </c>
      <c r="O25" s="32">
        <f t="shared" si="5"/>
        <v>1.0000503048317422</v>
      </c>
      <c r="P25" s="33">
        <f>COUNT($B$19:B25)/12</f>
        <v>0.58333333333333337</v>
      </c>
      <c r="Q25" s="32">
        <f t="shared" si="2"/>
        <v>8.6238403740113156E-5</v>
      </c>
      <c r="R25" s="44">
        <f t="shared" si="6"/>
        <v>-2.2525480194725375E-2</v>
      </c>
    </row>
    <row r="26" spans="2:18">
      <c r="B26" s="29">
        <v>42035</v>
      </c>
      <c r="C26" s="30">
        <f>+C25</f>
        <v>41571000</v>
      </c>
      <c r="D26" s="31">
        <v>40978720.789999999</v>
      </c>
      <c r="E26" s="31">
        <v>0</v>
      </c>
      <c r="F26" s="31">
        <v>0</v>
      </c>
      <c r="G26" s="32">
        <v>-6.267E-3</v>
      </c>
      <c r="H26" s="33">
        <f t="shared" ref="H26" si="7">+G26+1</f>
        <v>0.99373299999999998</v>
      </c>
      <c r="I26" s="48">
        <f>+H26*H25*H24*H23*H22*H21*H20</f>
        <v>0.9935636811442552</v>
      </c>
      <c r="J26" s="39">
        <f t="shared" si="0"/>
        <v>-6.4363188557448048E-3</v>
      </c>
      <c r="K26" s="41">
        <f t="shared" si="1"/>
        <v>-1.1892421297527322E-2</v>
      </c>
      <c r="L26" s="32">
        <f>STDEV($G$20:G26)*(12^0.5)</f>
        <v>2.0392059967406079E-2</v>
      </c>
      <c r="M26" s="43">
        <v>1.01E-4</v>
      </c>
      <c r="N26" s="33">
        <f t="shared" si="4"/>
        <v>100.00588833454529</v>
      </c>
      <c r="O26" s="32">
        <f t="shared" ref="O26" si="8">+N26/100</f>
        <v>1.0000588833454529</v>
      </c>
      <c r="P26" s="33">
        <f>COUNT($B$19:B26)/12</f>
        <v>0.66666666666666663</v>
      </c>
      <c r="Q26" s="32">
        <f t="shared" ref="Q26" si="9">-1+(O26^(1/P26))</f>
        <v>8.8326318384623903E-5</v>
      </c>
      <c r="R26" s="44">
        <f t="shared" si="6"/>
        <v>-0.58752022282503746</v>
      </c>
    </row>
    <row r="27" spans="2:18">
      <c r="B27" s="29">
        <v>42063</v>
      </c>
      <c r="C27" s="30">
        <f>+C26-9649784</f>
        <v>31921216</v>
      </c>
      <c r="D27" s="31">
        <v>30509461.920000002</v>
      </c>
      <c r="E27" s="31">
        <v>9649784</v>
      </c>
      <c r="F27" s="31">
        <v>549382.68000000005</v>
      </c>
      <c r="G27" s="32">
        <v>-8.7749999999999998E-3</v>
      </c>
      <c r="H27" s="33">
        <f t="shared" ref="H27" si="10">+G27+1</f>
        <v>0.99122500000000002</v>
      </c>
      <c r="I27" s="48">
        <f>+H27*H26*H25*H24*H23*H22*H21*H20</f>
        <v>0.98484515984221455</v>
      </c>
      <c r="J27" s="39">
        <f t="shared" si="0"/>
        <v>-1.5154840157785454E-2</v>
      </c>
      <c r="K27" s="41">
        <f t="shared" si="1"/>
        <v>-2.4468384059562975E-2</v>
      </c>
      <c r="L27" s="32">
        <f>STDEV($G$20:G27)*(12^0.5)</f>
        <v>2.119636089554728E-2</v>
      </c>
      <c r="M27" s="43">
        <v>2.03E-4</v>
      </c>
      <c r="N27" s="33">
        <f t="shared" si="4"/>
        <v>100.00744568651596</v>
      </c>
      <c r="O27" s="32">
        <f t="shared" ref="O27" si="11">+N27/100</f>
        <v>1.0000744568651596</v>
      </c>
      <c r="P27" s="33">
        <f>COUNT($B$19:B27)/12</f>
        <v>0.75</v>
      </c>
      <c r="Q27" s="32">
        <f t="shared" ref="Q27" si="12">-1+(O27^(1/P27))</f>
        <v>9.9277052153512457E-5</v>
      </c>
      <c r="R27" s="44">
        <f t="shared" ref="R27" si="13">+(K27-Q27)/L27</f>
        <v>-1.1590508971225064</v>
      </c>
    </row>
    <row r="28" spans="2:18">
      <c r="B28" s="29">
        <v>42094</v>
      </c>
      <c r="C28" s="30">
        <f>+C27+3455425.02</f>
        <v>35376641.020000003</v>
      </c>
      <c r="D28" s="31">
        <v>34206173.719999999</v>
      </c>
      <c r="E28" s="31">
        <v>0</v>
      </c>
      <c r="F28" s="31">
        <v>0</v>
      </c>
      <c r="G28" s="32">
        <v>7.1040000000000001E-3</v>
      </c>
      <c r="H28" s="33">
        <f t="shared" ref="H28:H33" si="14">+G28+1</f>
        <v>1.007104</v>
      </c>
      <c r="I28" s="48">
        <f>+H28*H27*H26*H25*H24*H23*H22*H21*H20</f>
        <v>0.99184149985773362</v>
      </c>
      <c r="J28" s="39">
        <f t="shared" si="0"/>
        <v>-8.1585001422663783E-3</v>
      </c>
      <c r="K28" s="41">
        <f t="shared" si="1"/>
        <v>-1.1612001217783829E-2</v>
      </c>
      <c r="L28" s="32">
        <f>STDEV($G$20:G28)*(12^0.5)</f>
        <v>2.2382940810656077E-2</v>
      </c>
      <c r="M28" s="43">
        <v>1.01E-4</v>
      </c>
      <c r="N28" s="33">
        <f t="shared" si="4"/>
        <v>100.00830355860484</v>
      </c>
      <c r="O28" s="32">
        <f t="shared" ref="O28" si="15">+N28/100</f>
        <v>1.0000830355860484</v>
      </c>
      <c r="P28" s="33">
        <f>COUNT($B$19:B28)/12</f>
        <v>0.83333333333333337</v>
      </c>
      <c r="Q28" s="32">
        <f t="shared" ref="Q28" si="16">-1+(O28^(1/P28))</f>
        <v>9.964353062885678E-5</v>
      </c>
      <c r="R28" s="44">
        <f t="shared" ref="R28" si="17">+(K28-Q28)/L28</f>
        <v>-0.52323976761967772</v>
      </c>
    </row>
    <row r="29" spans="2:18">
      <c r="B29" s="29">
        <v>42124</v>
      </c>
      <c r="C29" s="30">
        <f>+C28+20156645.93</f>
        <v>55533286.950000003</v>
      </c>
      <c r="D29" s="31">
        <v>55648485.890000001</v>
      </c>
      <c r="E29" s="31">
        <v>0</v>
      </c>
      <c r="F29" s="31">
        <v>0</v>
      </c>
      <c r="G29" s="32">
        <v>2.3650000000000001E-2</v>
      </c>
      <c r="H29" s="33">
        <f t="shared" si="14"/>
        <v>1.0236499999999999</v>
      </c>
      <c r="I29" s="48">
        <f>+H29*H28*H27*H26*H25*H24*H23*H22*H21*H20</f>
        <v>1.0152985513293691</v>
      </c>
      <c r="J29" s="39">
        <f t="shared" ref="J29" si="18">+I29-1</f>
        <v>1.5298551329369081E-2</v>
      </c>
      <c r="K29" s="41">
        <f t="shared" si="1"/>
        <v>1.9565476964150008E-2</v>
      </c>
      <c r="L29" s="32">
        <f>STDEV($G$20:G29)*(12^0.5)</f>
        <v>3.4176830141681269E-2</v>
      </c>
      <c r="M29" s="43">
        <v>-1.5200000000000001E-4</v>
      </c>
      <c r="N29" s="33">
        <f t="shared" si="4"/>
        <v>100.00705413979873</v>
      </c>
      <c r="O29" s="32">
        <f t="shared" ref="O29:O35" si="19">+N29/100</f>
        <v>1.0000705413979873</v>
      </c>
      <c r="P29" s="33">
        <f>COUNT($B$19:B29)/12</f>
        <v>0.91666666666666663</v>
      </c>
      <c r="Q29" s="32">
        <f t="shared" ref="Q29:Q34" si="20">-1+(O29^(1/P29))</f>
        <v>7.6954499092840578E-5</v>
      </c>
      <c r="R29" s="44">
        <f t="shared" ref="R29:R34" si="21">+(K29-Q29)/L29</f>
        <v>0.57022615568110913</v>
      </c>
    </row>
    <row r="30" spans="2:18">
      <c r="B30" s="29">
        <v>42155</v>
      </c>
      <c r="C30" s="30">
        <f>+C29+18115066</f>
        <v>73648352.950000003</v>
      </c>
      <c r="D30" s="31">
        <v>73991908.010000005</v>
      </c>
      <c r="E30" s="31">
        <v>0</v>
      </c>
      <c r="F30" s="31">
        <v>0</v>
      </c>
      <c r="G30" s="32">
        <v>3.0959999999999998E-3</v>
      </c>
      <c r="H30" s="33">
        <f t="shared" si="14"/>
        <v>1.003096</v>
      </c>
      <c r="I30" s="48">
        <f>+H30*H29*H28*H27*H26*H25*H24*H23*H22*H21*H20</f>
        <v>1.018441915644285</v>
      </c>
      <c r="J30" s="39">
        <f t="shared" ref="J30" si="22">+I30-1</f>
        <v>1.844191564428499E-2</v>
      </c>
      <c r="K30" s="41">
        <f t="shared" si="1"/>
        <v>2.1263877164871658E-2</v>
      </c>
      <c r="L30" s="32">
        <f>STDEV($G$20:G30)*(12^0.5)</f>
        <v>3.2462504749605839E-2</v>
      </c>
      <c r="M30" s="43">
        <v>0</v>
      </c>
      <c r="N30" s="33">
        <f t="shared" si="4"/>
        <v>100.00705413979873</v>
      </c>
      <c r="O30" s="32">
        <f t="shared" si="19"/>
        <v>1.0000705413979873</v>
      </c>
      <c r="P30" s="33">
        <f>COUNT($B$19:B30)/12</f>
        <v>1</v>
      </c>
      <c r="Q30" s="32">
        <f t="shared" si="20"/>
        <v>7.0541397987344823E-5</v>
      </c>
      <c r="R30" s="44">
        <f t="shared" si="21"/>
        <v>0.65285583877016284</v>
      </c>
    </row>
    <row r="31" spans="2:18">
      <c r="B31" s="29">
        <v>42185</v>
      </c>
      <c r="C31" s="30">
        <f>+C30</f>
        <v>73648352.950000003</v>
      </c>
      <c r="D31" s="31">
        <v>74134210.329999998</v>
      </c>
      <c r="E31" s="31">
        <v>0</v>
      </c>
      <c r="F31" s="31">
        <v>529831.84</v>
      </c>
      <c r="G31" s="32">
        <v>9.1489999999999991E-3</v>
      </c>
      <c r="H31" s="33">
        <f t="shared" si="14"/>
        <v>1.0091490000000001</v>
      </c>
      <c r="I31" s="48">
        <f>+H31*H30*H29*H28*H27*H26*H25*H24*H23*H22*H21*H20</f>
        <v>1.0277596407305145</v>
      </c>
      <c r="J31" s="39">
        <f t="shared" ref="J31" si="23">+I31-1</f>
        <v>2.7759640730514512E-2</v>
      </c>
      <c r="K31" s="41">
        <f t="shared" si="1"/>
        <v>2.9220463560035714E-2</v>
      </c>
      <c r="L31" s="32">
        <f>STDEV($G$20:G31)*(12^0.5)</f>
        <v>3.1834991274610792E-2</v>
      </c>
      <c r="M31" s="43">
        <v>-1E-4</v>
      </c>
      <c r="N31" s="33">
        <f t="shared" si="4"/>
        <v>100.00623216401127</v>
      </c>
      <c r="O31" s="32">
        <f t="shared" si="19"/>
        <v>1.0000623216401126</v>
      </c>
      <c r="P31" s="33">
        <f>COUNT($B$19:B31)/12</f>
        <v>1.0833333333333333</v>
      </c>
      <c r="Q31" s="32">
        <f t="shared" si="20"/>
        <v>5.7527529906176156E-5</v>
      </c>
      <c r="R31" s="44">
        <f t="shared" si="21"/>
        <v>0.9160654632686428</v>
      </c>
    </row>
    <row r="32" spans="2:18">
      <c r="B32" s="29">
        <v>42216</v>
      </c>
      <c r="C32" s="30">
        <f>+C31</f>
        <v>73648352.950000003</v>
      </c>
      <c r="D32" s="31">
        <v>74440736.739999995</v>
      </c>
      <c r="E32" s="31">
        <v>0</v>
      </c>
      <c r="F32" s="31">
        <v>0</v>
      </c>
      <c r="G32" s="32">
        <v>4.13E-3</v>
      </c>
      <c r="H32" s="33">
        <f t="shared" si="14"/>
        <v>1.00413</v>
      </c>
      <c r="I32" s="48">
        <f>+H32*H31*H30*H29*H28*H27*H26*H25*H24*H23*H22*H21*H20</f>
        <v>1.0320042880467313</v>
      </c>
      <c r="J32" s="39">
        <f t="shared" ref="J32" si="24">+I32-1</f>
        <v>3.2004288046731277E-2</v>
      </c>
      <c r="K32" s="41">
        <f t="shared" si="1"/>
        <v>3.0886788713226254E-2</v>
      </c>
      <c r="L32" s="32">
        <f>STDEV($G$20:G32)*(12^0.5)</f>
        <v>3.0529096706131145E-2</v>
      </c>
      <c r="M32" s="43">
        <v>2.0000000000000001E-4</v>
      </c>
      <c r="N32" s="33">
        <f t="shared" si="4"/>
        <v>100.00793090000967</v>
      </c>
      <c r="O32" s="32">
        <f t="shared" si="19"/>
        <v>1.0000793090000968</v>
      </c>
      <c r="P32" s="33">
        <f>COUNT($B$19:B32)/12</f>
        <v>1.1666666666666667</v>
      </c>
      <c r="Q32" s="32">
        <f t="shared" si="20"/>
        <v>6.7978757854803007E-5</v>
      </c>
      <c r="R32" s="44">
        <f t="shared" si="21"/>
        <v>1.0094897419346875</v>
      </c>
    </row>
    <row r="33" spans="2:18">
      <c r="B33" s="29">
        <v>42247</v>
      </c>
      <c r="C33" s="30">
        <f>+C32+3340244.18</f>
        <v>76988597.13000001</v>
      </c>
      <c r="D33" s="31">
        <v>77945508.790000007</v>
      </c>
      <c r="E33" s="31">
        <v>0</v>
      </c>
      <c r="F33" s="31">
        <v>420410.04</v>
      </c>
      <c r="G33" s="32">
        <v>7.561E-3</v>
      </c>
      <c r="H33" s="33">
        <f t="shared" si="14"/>
        <v>1.0075609999999999</v>
      </c>
      <c r="I33" s="48">
        <f>+H33*H32*H31*H30*H29*H28*H27*H26*H25*H24*H23*H22*H21*H20</f>
        <v>1.0398072724686527</v>
      </c>
      <c r="J33" s="39">
        <f t="shared" ref="J33" si="25">+I33-1</f>
        <v>3.9807272468652677E-2</v>
      </c>
      <c r="K33" s="41">
        <f t="shared" si="1"/>
        <v>3.5449855984406753E-2</v>
      </c>
      <c r="L33" s="32">
        <f>STDEV($G$20:G33)*(12^0.5)</f>
        <v>2.9708893383764933E-2</v>
      </c>
      <c r="M33" s="43">
        <v>0</v>
      </c>
      <c r="N33" s="33">
        <f t="shared" si="4"/>
        <v>100.00793090000967</v>
      </c>
      <c r="O33" s="32">
        <f t="shared" si="19"/>
        <v>1.0000793090000968</v>
      </c>
      <c r="P33" s="33">
        <f>COUNT($B$19:B33)/12</f>
        <v>1.25</v>
      </c>
      <c r="Q33" s="32">
        <f t="shared" si="20"/>
        <v>6.3446696900060218E-5</v>
      </c>
      <c r="R33" s="44">
        <f t="shared" si="21"/>
        <v>1.1911049270803322</v>
      </c>
    </row>
    <row r="34" spans="2:18">
      <c r="B34" s="29">
        <v>42277</v>
      </c>
      <c r="C34" s="30">
        <f>+C33</f>
        <v>76988597.13000001</v>
      </c>
      <c r="D34" s="31">
        <v>79517357.25</v>
      </c>
      <c r="E34" s="31">
        <v>0</v>
      </c>
      <c r="F34" s="31">
        <v>0</v>
      </c>
      <c r="G34" s="32">
        <v>2.0166E-2</v>
      </c>
      <c r="H34" s="33">
        <f t="shared" ref="H34:H39" si="26">+G34+1</f>
        <v>1.0201659999999999</v>
      </c>
      <c r="I34" s="48">
        <f>+H34*H33*H32*H31*H30*H29*H28*H27*H26*H25*H24*H23*H22*H21*H20</f>
        <v>1.0607760259252554</v>
      </c>
      <c r="J34" s="39">
        <f t="shared" ref="J34" si="27">+I34-1</f>
        <v>6.0776025925255439E-2</v>
      </c>
      <c r="K34" s="41">
        <f t="shared" si="1"/>
        <v>5.0278413915026965E-2</v>
      </c>
      <c r="L34" s="32">
        <f>STDEV($G$20:G34)*(12^0.5)</f>
        <v>3.2559371566416945E-2</v>
      </c>
      <c r="M34" s="43">
        <v>-2.0000000000000001E-4</v>
      </c>
      <c r="N34" s="33">
        <f t="shared" si="4"/>
        <v>100.00628693402227</v>
      </c>
      <c r="O34" s="32">
        <f t="shared" si="19"/>
        <v>1.0000628693402227</v>
      </c>
      <c r="P34" s="33">
        <f>COUNT($B$19:B34)/12</f>
        <v>1.3333333333333333</v>
      </c>
      <c r="Q34" s="32">
        <f t="shared" si="20"/>
        <v>4.7151634624764682E-5</v>
      </c>
      <c r="R34" s="44">
        <f t="shared" si="21"/>
        <v>1.5427589619761815</v>
      </c>
    </row>
    <row r="35" spans="2:18">
      <c r="B35" s="29">
        <v>42308</v>
      </c>
      <c r="C35" s="30">
        <f>+C34</f>
        <v>76988597.13000001</v>
      </c>
      <c r="D35" s="31">
        <v>79390855.849999994</v>
      </c>
      <c r="E35" s="31">
        <v>0</v>
      </c>
      <c r="F35" s="31">
        <v>746371.8</v>
      </c>
      <c r="G35" s="32">
        <v>7.8689999999999993E-3</v>
      </c>
      <c r="H35" s="33">
        <f t="shared" si="26"/>
        <v>1.0078689999999999</v>
      </c>
      <c r="I35" s="48">
        <f>+H35*H34*H33*H32*H31*H30*H29*H28*H27*H26*H25*H24*H23*H22*H21*H20</f>
        <v>1.0691232724732609</v>
      </c>
      <c r="J35" s="39">
        <f t="shared" ref="J35" si="28">+I35-1</f>
        <v>6.9123272473260888E-2</v>
      </c>
      <c r="K35" s="41">
        <f t="shared" si="1"/>
        <v>5.3277611677974512E-2</v>
      </c>
      <c r="L35" s="32">
        <f>STDEV($G$20:G35)*(12^0.5)</f>
        <v>3.163494407139042E-2</v>
      </c>
      <c r="M35" s="43">
        <v>0</v>
      </c>
      <c r="N35" s="33">
        <f t="shared" si="4"/>
        <v>100.00628693402227</v>
      </c>
      <c r="O35" s="32">
        <f t="shared" si="19"/>
        <v>1.0000628693402227</v>
      </c>
      <c r="P35" s="33">
        <f>COUNT($B$19:B35)/12</f>
        <v>1.4166666666666667</v>
      </c>
      <c r="Q35" s="32">
        <f t="shared" ref="Q35" si="29">-1+(O35^(1/P35))</f>
        <v>4.4377947515661376E-5</v>
      </c>
      <c r="R35" s="44">
        <f t="shared" ref="R35" si="30">+(K35-Q35)/L35</f>
        <v>1.6827351934091517</v>
      </c>
    </row>
    <row r="36" spans="2:18">
      <c r="B36" s="29">
        <v>42338</v>
      </c>
      <c r="C36" s="30">
        <f>+C35+4492052.53</f>
        <v>81480649.660000011</v>
      </c>
      <c r="D36" s="31">
        <v>83983730.650000006</v>
      </c>
      <c r="E36" s="31">
        <v>0</v>
      </c>
      <c r="F36" s="31">
        <v>0</v>
      </c>
      <c r="G36" s="32">
        <v>1.2019999999999999E-3</v>
      </c>
      <c r="H36" s="33">
        <f t="shared" si="26"/>
        <v>1.0012019999999999</v>
      </c>
      <c r="I36" s="48">
        <f>+H36*H35*H34*H33*H32*H31*H30*H29*H28*H27*H26*H25*H24*H23*H22*H21*H20</f>
        <v>1.0704083586467736</v>
      </c>
      <c r="J36" s="39">
        <f t="shared" ref="J36" si="31">+I36-1</f>
        <v>7.0408358646773639E-2</v>
      </c>
      <c r="K36" s="41">
        <f t="shared" si="1"/>
        <v>5.092356162236511E-2</v>
      </c>
      <c r="L36" s="32">
        <f>STDEV($G$20:G36)*(12^0.5)</f>
        <v>3.0735521914438693E-2</v>
      </c>
      <c r="M36" s="43">
        <v>9.1500000000000001E-4</v>
      </c>
      <c r="N36" s="33">
        <f t="shared" si="4"/>
        <v>100.01380795477935</v>
      </c>
      <c r="O36" s="32">
        <f t="shared" ref="O36" si="32">+N36/100</f>
        <v>1.0001380795477934</v>
      </c>
      <c r="P36" s="33">
        <f>COUNT($B$19:B36)/12</f>
        <v>1.5</v>
      </c>
      <c r="Q36" s="32">
        <f t="shared" ref="Q36" si="33">-1+(O36^(1/P36))</f>
        <v>9.2050913552021996E-5</v>
      </c>
      <c r="R36" s="44">
        <f t="shared" ref="R36" si="34">+(K36-Q36)/L36</f>
        <v>1.6538359377894234</v>
      </c>
    </row>
    <row r="37" spans="2:18">
      <c r="B37" s="29">
        <v>42369</v>
      </c>
      <c r="C37" s="30">
        <f>+C36+21440912.23</f>
        <v>102921561.89000002</v>
      </c>
      <c r="D37" s="31">
        <v>105412624.53</v>
      </c>
      <c r="E37" s="31">
        <v>0</v>
      </c>
      <c r="F37" s="31">
        <v>0</v>
      </c>
      <c r="G37" s="32">
        <v>-1.1400000000000001E-4</v>
      </c>
      <c r="H37" s="33">
        <f t="shared" si="26"/>
        <v>0.99988600000000005</v>
      </c>
      <c r="I37" s="48">
        <f>+H37*H36*H35*H34*H33*H32*H31*H30*H29*H28*H27*H26*H25*H24*H23*H22*H21*H20</f>
        <v>1.0702863320938878</v>
      </c>
      <c r="J37" s="39">
        <f t="shared" ref="J37:J42" si="35">+I37-1</f>
        <v>7.0286332093887793E-2</v>
      </c>
      <c r="K37" s="41">
        <f t="shared" si="1"/>
        <v>4.7798478806185374E-2</v>
      </c>
      <c r="L37" s="32">
        <f>STDEV($G$20:G37)*(12^0.5)</f>
        <v>3.0010780415985028E-2</v>
      </c>
      <c r="M37" s="43">
        <v>1.2199999999999999E-3</v>
      </c>
      <c r="N37" s="33">
        <f t="shared" si="4"/>
        <v>100.02417102934606</v>
      </c>
      <c r="O37" s="32">
        <f t="shared" ref="O37" si="36">+N37/100</f>
        <v>1.0002417102934607</v>
      </c>
      <c r="P37" s="33">
        <f>COUNT($B$19:B37)/12</f>
        <v>1.5833333333333333</v>
      </c>
      <c r="Q37" s="32">
        <f t="shared" ref="Q37" si="37">-1+(O37^(1/P37))</f>
        <v>1.5265233622474561E-4</v>
      </c>
      <c r="R37" s="44">
        <f t="shared" ref="R37" si="38">+(K37-Q37)/L37</f>
        <v>1.5876237075321913</v>
      </c>
    </row>
    <row r="38" spans="2:18">
      <c r="B38" s="29">
        <v>42400</v>
      </c>
      <c r="C38" s="30">
        <f>+C37</f>
        <v>102921561.89000002</v>
      </c>
      <c r="D38" s="31">
        <v>105078862.5</v>
      </c>
      <c r="E38" s="31">
        <v>0</v>
      </c>
      <c r="F38" s="31">
        <v>886892.43</v>
      </c>
      <c r="G38" s="32">
        <v>5.2919999999999998E-3</v>
      </c>
      <c r="H38" s="33">
        <f t="shared" si="26"/>
        <v>1.0052920000000001</v>
      </c>
      <c r="I38" s="48">
        <f>+H38*H37*H36*H35*H34*H33*H32*H31*H30*H29*H28*H27*H26*H25*H24*H23*H22*H21*H20</f>
        <v>1.0759502873633291</v>
      </c>
      <c r="J38" s="39">
        <f t="shared" si="35"/>
        <v>7.5950287363329094E-2</v>
      </c>
      <c r="K38" s="41">
        <f t="shared" si="1"/>
        <v>4.8692019113076412E-2</v>
      </c>
      <c r="L38" s="32">
        <f>STDEV($G$20:G38)*(12^0.5)</f>
        <v>2.9188815370563462E-2</v>
      </c>
      <c r="M38" s="43">
        <v>2.186E-3</v>
      </c>
      <c r="N38" s="33">
        <f t="shared" si="4"/>
        <v>100.04274154434327</v>
      </c>
      <c r="O38" s="32">
        <f t="shared" ref="O38" si="39">+N38/100</f>
        <v>1.0004274154434327</v>
      </c>
      <c r="P38" s="33">
        <f>COUNT($B$19:B38)/12</f>
        <v>1.6666666666666667</v>
      </c>
      <c r="Q38" s="32">
        <f t="shared" ref="Q38" si="40">-1+(O38^(1/P38))</f>
        <v>2.5642734835584768E-4</v>
      </c>
      <c r="R38" s="44">
        <f t="shared" ref="R38" si="41">+(K38-Q38)/L38</f>
        <v>1.6593887470187374</v>
      </c>
    </row>
    <row r="39" spans="2:18">
      <c r="B39" s="29">
        <v>42429</v>
      </c>
      <c r="C39" s="30">
        <f>+C38+3054595.72</f>
        <v>105976157.61000001</v>
      </c>
      <c r="D39" s="31">
        <v>108238222.08</v>
      </c>
      <c r="E39" s="31">
        <v>0</v>
      </c>
      <c r="F39" s="31">
        <v>0</v>
      </c>
      <c r="G39" s="32">
        <v>9.6900000000000003E-4</v>
      </c>
      <c r="H39" s="33">
        <f t="shared" si="26"/>
        <v>1.000969</v>
      </c>
      <c r="I39" s="48">
        <f>+H39*H38*H37*H36*H35*H34*H33*H32*H31*H30*H29*H28*H27*H26*H25*H24*H23*H22*H21*H20</f>
        <v>1.0769928831917845</v>
      </c>
      <c r="J39" s="39">
        <f t="shared" si="35"/>
        <v>7.6992883191784545E-2</v>
      </c>
      <c r="K39" s="41">
        <f t="shared" ref="K39:K44" si="42">+(1+J39)^(365/(B39-$B$19))-1</f>
        <v>4.6874349226169842E-2</v>
      </c>
      <c r="L39" s="32">
        <f>STDEV($G$20:G39)*(12^0.5)</f>
        <v>2.8500487563142531E-2</v>
      </c>
      <c r="M39" s="43">
        <v>2.186E-3</v>
      </c>
      <c r="N39" s="33">
        <f t="shared" ref="N39" si="43">+N38*(1+(M39*(B39-B38)/365))</f>
        <v>100.06011718696645</v>
      </c>
      <c r="O39" s="32">
        <f t="shared" ref="O39" si="44">+N39/100</f>
        <v>1.0006011718696646</v>
      </c>
      <c r="P39" s="33">
        <f>COUNT($B$19:B39)/12</f>
        <v>1.75</v>
      </c>
      <c r="Q39" s="32">
        <f t="shared" ref="Q39" si="45">-1+(O39^(1/P39))</f>
        <v>3.4348254133553802E-4</v>
      </c>
      <c r="R39" s="44">
        <f t="shared" ref="R39" si="46">+(K39-Q39)/L39</f>
        <v>1.6326340586891948</v>
      </c>
    </row>
    <row r="40" spans="2:18">
      <c r="B40" s="29">
        <v>42460</v>
      </c>
      <c r="C40" s="30">
        <f t="shared" ref="C40:C48" si="47">+C39</f>
        <v>105976157.61000001</v>
      </c>
      <c r="D40" s="31">
        <v>109927224.75</v>
      </c>
      <c r="E40" s="31">
        <v>0</v>
      </c>
      <c r="F40" s="31">
        <v>0</v>
      </c>
      <c r="G40" s="32">
        <v>1.5605000000000001E-2</v>
      </c>
      <c r="H40" s="33">
        <f t="shared" ref="H40:H45" si="48">+G40+1</f>
        <v>1.0156050000000001</v>
      </c>
      <c r="I40" s="48">
        <f>+H40*H39*H38*H37*H36*H35*H34*H33*H32*H31*H30*H29*H28*H27*H26*H25*H24*H23*H22*H21*H20</f>
        <v>1.0937993571339919</v>
      </c>
      <c r="J40" s="39">
        <f t="shared" si="35"/>
        <v>9.3799357133991901E-2</v>
      </c>
      <c r="K40" s="41">
        <f t="shared" si="42"/>
        <v>5.4021020488637328E-2</v>
      </c>
      <c r="L40" s="32">
        <f>STDEV($G$20:G40)*(12^0.5)</f>
        <v>2.9189169420963557E-2</v>
      </c>
      <c r="M40" s="43">
        <v>1.678E-3</v>
      </c>
      <c r="N40" s="33">
        <f t="shared" ref="N40" si="49">+N39*(1+(M40*(B40-B39)/365))</f>
        <v>100.07437726142078</v>
      </c>
      <c r="O40" s="32">
        <f t="shared" ref="O40" si="50">+N40/100</f>
        <v>1.0007437726142079</v>
      </c>
      <c r="P40" s="33">
        <f>COUNT($B$19:B40)/12</f>
        <v>1.8333333333333333</v>
      </c>
      <c r="Q40" s="32">
        <f t="shared" ref="Q40" si="51">-1+(O40^(1/P40))</f>
        <v>4.0562559969603562E-4</v>
      </c>
      <c r="R40" s="44">
        <f t="shared" ref="R40" si="52">+(K40-Q40)/L40</f>
        <v>1.8368249577678941</v>
      </c>
    </row>
    <row r="41" spans="2:18">
      <c r="B41" s="29">
        <v>42490</v>
      </c>
      <c r="C41" s="30">
        <f t="shared" si="47"/>
        <v>105976157.61000001</v>
      </c>
      <c r="D41" s="31">
        <v>107038737.55</v>
      </c>
      <c r="E41" s="31">
        <v>0</v>
      </c>
      <c r="F41" s="31">
        <v>4152269.06</v>
      </c>
      <c r="G41" s="32">
        <v>1.19478E-2</v>
      </c>
      <c r="H41" s="33">
        <f t="shared" si="48"/>
        <v>1.0119478</v>
      </c>
      <c r="I41" s="48">
        <f>+H41*H40*H39*H38*H37*H36*H35*H34*H33*H32*H31*H30*H29*H28*H27*H26*H25*H24*H23*H22*H21*H20</f>
        <v>1.1068678530931568</v>
      </c>
      <c r="J41" s="39">
        <f t="shared" si="35"/>
        <v>0.10686785309315683</v>
      </c>
      <c r="K41" s="41">
        <f t="shared" si="42"/>
        <v>5.8486973999714031E-2</v>
      </c>
      <c r="L41" s="32">
        <f>STDEV($G$20:G41)*(12^0.5)</f>
        <v>2.90385604895445E-2</v>
      </c>
      <c r="M41" s="43">
        <v>1.5250000000000001E-3</v>
      </c>
      <c r="N41" s="33">
        <f t="shared" ref="N41" si="53">+N40*(1+(M41*(B41-B40)/365))</f>
        <v>100.08692083062547</v>
      </c>
      <c r="O41" s="32">
        <f t="shared" ref="O41" si="54">+N41/100</f>
        <v>1.0008692083062547</v>
      </c>
      <c r="P41" s="33">
        <f>COUNT($B$19:B41)/12</f>
        <v>1.9166666666666667</v>
      </c>
      <c r="Q41" s="32">
        <f t="shared" ref="Q41" si="55">-1+(O41^(1/P41))</f>
        <v>4.5340576436436741E-4</v>
      </c>
      <c r="R41" s="44">
        <f t="shared" ref="R41" si="56">+(K41-Q41)/L41</f>
        <v>1.9985001755250569</v>
      </c>
    </row>
    <row r="42" spans="2:18">
      <c r="B42" s="29">
        <v>42521</v>
      </c>
      <c r="C42" s="30">
        <f t="shared" si="47"/>
        <v>105976157.61000001</v>
      </c>
      <c r="D42" s="31">
        <v>111038647.56</v>
      </c>
      <c r="E42" s="31">
        <v>0</v>
      </c>
      <c r="F42" s="31">
        <v>0</v>
      </c>
      <c r="G42" s="32">
        <v>3.7368810000000002E-2</v>
      </c>
      <c r="H42" s="33">
        <f t="shared" si="48"/>
        <v>1.03736881</v>
      </c>
      <c r="I42" s="48">
        <f>+H42*H41*H40*H39*H38*H37*H36*H35*H34*H33*H32*H31*H30*H29*H28*H27*H26*H25*H24*H23*H22*H21*H20</f>
        <v>1.1482301875905028</v>
      </c>
      <c r="J42" s="39">
        <f t="shared" si="35"/>
        <v>0.14823018759050277</v>
      </c>
      <c r="K42" s="41">
        <f t="shared" si="42"/>
        <v>7.6663272170976571E-2</v>
      </c>
      <c r="L42" s="32">
        <f>STDEV($G$20:G42)*(12^0.5)</f>
        <v>3.6920567699650318E-2</v>
      </c>
      <c r="M42" s="43">
        <v>1.7799999999999999E-3</v>
      </c>
      <c r="N42" s="33">
        <f t="shared" ref="N42" si="57">+N41*(1+(M42*(B42-B41)/365))</f>
        <v>100.10205177936912</v>
      </c>
      <c r="O42" s="32">
        <f t="shared" ref="O42" si="58">+N42/100</f>
        <v>1.0010205177936913</v>
      </c>
      <c r="P42" s="33">
        <f>COUNT($B$19:B42)/12</f>
        <v>2</v>
      </c>
      <c r="Q42" s="32">
        <f t="shared" ref="Q42" si="59">-1+(O42^(1/P42))</f>
        <v>5.101287811588584E-4</v>
      </c>
      <c r="R42" s="44">
        <f t="shared" ref="R42" si="60">+(K42-Q42)/L42</f>
        <v>2.0626211386922679</v>
      </c>
    </row>
    <row r="43" spans="2:18">
      <c r="B43" s="29">
        <v>42551</v>
      </c>
      <c r="C43" s="30">
        <f t="shared" si="47"/>
        <v>105976157.61000001</v>
      </c>
      <c r="D43" s="31">
        <v>111501655.09999999</v>
      </c>
      <c r="E43" s="31">
        <v>0</v>
      </c>
      <c r="F43" s="31">
        <v>0</v>
      </c>
      <c r="G43" s="32">
        <v>4.1698000000000004E-3</v>
      </c>
      <c r="H43" s="33">
        <f t="shared" si="48"/>
        <v>1.0041697999999999</v>
      </c>
      <c r="I43" s="48">
        <f>+H43*H42*H41*H40*H39*H38*H37*H36*H35*H34*H33*H32*H31*H30*H29*H28*H27*H26*H25*H24*H23*H22*H21*H20</f>
        <v>1.1530180778267183</v>
      </c>
      <c r="J43" s="39">
        <f t="shared" ref="J43" si="61">+I43-1</f>
        <v>0.15301807782671828</v>
      </c>
      <c r="K43" s="41">
        <f t="shared" si="42"/>
        <v>7.5610999931750023E-2</v>
      </c>
      <c r="L43" s="32">
        <f>STDEV($G$20:G43)*(12^0.5)</f>
        <v>3.6134316732621928E-2</v>
      </c>
      <c r="M43" s="43">
        <v>1.6800000000000001E-3</v>
      </c>
      <c r="N43" s="33">
        <f t="shared" ref="N43" si="62">+N42*(1+(M43*(B43-B42)/365))</f>
        <v>100.11587409008058</v>
      </c>
      <c r="O43" s="32">
        <f t="shared" ref="O43" si="63">+N43/100</f>
        <v>1.0011587409008058</v>
      </c>
      <c r="P43" s="33">
        <f>COUNT($B$19:B43)/12</f>
        <v>2.0833333333333335</v>
      </c>
      <c r="Q43" s="32">
        <f t="shared" ref="Q43" si="64">-1+(O43^(1/P43))</f>
        <v>5.5602816416921996E-4</v>
      </c>
      <c r="R43" s="44">
        <f t="shared" ref="R43" si="65">+(K43-Q43)/L43</f>
        <v>2.0771105850140912</v>
      </c>
    </row>
    <row r="44" spans="2:18">
      <c r="B44" s="29">
        <v>42582</v>
      </c>
      <c r="C44" s="30">
        <f t="shared" si="47"/>
        <v>105976157.61000001</v>
      </c>
      <c r="D44" s="31">
        <v>108681715.63</v>
      </c>
      <c r="E44" s="50">
        <v>0</v>
      </c>
      <c r="F44" s="31">
        <f>1243953.01+2478691.55</f>
        <v>3722644.5599999996</v>
      </c>
      <c r="G44" s="32">
        <v>8.3755199999999991E-3</v>
      </c>
      <c r="H44" s="33">
        <f t="shared" si="48"/>
        <v>1.00837552</v>
      </c>
      <c r="I44" s="48">
        <f>+H44*H43*H42*H41*H40*H39*H38*H37*H36*H35*H34*H33*H32*H31*H30*H29*H28*H27*H26*H25*H24*H23*H22*H21*H20</f>
        <v>1.1626752037979178</v>
      </c>
      <c r="J44" s="39">
        <f t="shared" ref="J44:J49" si="66">+I44-1</f>
        <v>0.16267520379791778</v>
      </c>
      <c r="K44" s="41">
        <f t="shared" si="42"/>
        <v>7.6746163622397612E-2</v>
      </c>
      <c r="L44" s="32">
        <f>STDEV($G$20:G44)*(12^0.5)</f>
        <v>3.5411721098076436E-2</v>
      </c>
      <c r="M44" s="43">
        <v>1.7799999999999999E-3</v>
      </c>
      <c r="N44" s="33">
        <f t="shared" ref="N44" si="67">+N43*(1+(M44*(B44-B43)/365))</f>
        <v>100.13100941592246</v>
      </c>
      <c r="O44" s="32">
        <f t="shared" ref="O44" si="68">+N44/100</f>
        <v>1.0013100941592246</v>
      </c>
      <c r="P44" s="33">
        <f>COUNT($B$19:B44)/12</f>
        <v>2.1666666666666665</v>
      </c>
      <c r="Q44" s="32">
        <f t="shared" ref="Q44" si="69">-1+(O44^(1/P44))</f>
        <v>6.0444571203555064E-4</v>
      </c>
      <c r="R44" s="44">
        <f t="shared" ref="R44" si="70">+(K44-Q44)/L44</f>
        <v>2.1501840506277476</v>
      </c>
    </row>
    <row r="45" spans="2:18">
      <c r="B45" s="29">
        <v>42613</v>
      </c>
      <c r="C45" s="30">
        <f t="shared" si="47"/>
        <v>105976157.61000001</v>
      </c>
      <c r="D45" s="31">
        <v>108744494.78</v>
      </c>
      <c r="E45" s="50">
        <v>0</v>
      </c>
      <c r="F45" s="31">
        <v>483759.5</v>
      </c>
      <c r="G45" s="32">
        <v>5.0512999999999999E-3</v>
      </c>
      <c r="H45" s="33">
        <f t="shared" si="48"/>
        <v>1.0050513000000001</v>
      </c>
      <c r="I45" s="48">
        <f>+H45*H44*H43*H42*H41*H40*H39*H38*H37*H36*H35*H34*H33*H32*H31*H30*H29*H28*H27*H26*H25*H24*H23*H22*H21*H20</f>
        <v>1.168548225054862</v>
      </c>
      <c r="J45" s="39">
        <f t="shared" si="66"/>
        <v>0.168548225054862</v>
      </c>
      <c r="K45" s="41">
        <f t="shared" ref="K45" si="71">+(1+J45)^(365/(B45-$B$19))-1</f>
        <v>7.6116735110086431E-2</v>
      </c>
      <c r="L45" s="32">
        <f>STDEV($G$20:G45)*(12^0.5)</f>
        <v>3.4703526165824727E-2</v>
      </c>
      <c r="M45" s="43">
        <v>2.6870000000000002E-3</v>
      </c>
      <c r="N45" s="33">
        <f t="shared" ref="N45" si="72">+N44*(1+(M45*(B45-B44)/365))</f>
        <v>100.1538604095973</v>
      </c>
      <c r="O45" s="32">
        <f t="shared" ref="O45" si="73">+N45/100</f>
        <v>1.0015386040959731</v>
      </c>
      <c r="P45" s="33">
        <f>COUNT($B$19:B45)/12</f>
        <v>2.25</v>
      </c>
      <c r="Q45" s="32">
        <f t="shared" ref="Q45" si="74">-1+(O45^(1/P45))</f>
        <v>6.8353201601301095E-4</v>
      </c>
      <c r="R45" s="44">
        <f t="shared" ref="R45" si="75">+(K45-Q45)/L45</f>
        <v>2.1736466413709392</v>
      </c>
    </row>
    <row r="46" spans="2:18">
      <c r="B46" s="29">
        <v>42643</v>
      </c>
      <c r="C46" s="30">
        <f t="shared" si="47"/>
        <v>105976157.61000001</v>
      </c>
      <c r="D46" s="31">
        <v>109284409.81999999</v>
      </c>
      <c r="E46" s="50">
        <v>0</v>
      </c>
      <c r="F46" s="31">
        <v>0</v>
      </c>
      <c r="G46" s="32">
        <v>4.9649999999999998E-3</v>
      </c>
      <c r="H46" s="33">
        <f t="shared" ref="H46:H51" si="76">+G46+1</f>
        <v>1.0049650000000001</v>
      </c>
      <c r="I46" s="48">
        <f>+H46*H45*H44*H43*H42*H41*H40*H39*H38*H37*H36*H35*H34*H33*H32*H31*H30*H29*H28*H27*H26*H25*H24*H23*H22*H21*H20</f>
        <v>1.17435006699226</v>
      </c>
      <c r="J46" s="39">
        <f t="shared" si="66"/>
        <v>0.17435006699225997</v>
      </c>
      <c r="K46" s="41">
        <f t="shared" ref="K46" si="77">+(1+J46)^(365/(B46-$B$19))-1</f>
        <v>7.55914678860381E-2</v>
      </c>
      <c r="L46" s="32">
        <f>STDEV($G$20:G46)*(12^0.5)</f>
        <v>3.4037385249126875E-2</v>
      </c>
      <c r="M46" s="43">
        <v>1.825E-3</v>
      </c>
      <c r="N46" s="33">
        <f t="shared" ref="N46" si="78">+N45*(1+(M46*(B46-B45)/365))</f>
        <v>100.16888348865875</v>
      </c>
      <c r="O46" s="32">
        <f t="shared" ref="O46" si="79">+N46/100</f>
        <v>1.0016888348865876</v>
      </c>
      <c r="P46" s="33">
        <f>COUNT($B$19:B46)/12</f>
        <v>2.3333333333333335</v>
      </c>
      <c r="Q46" s="32">
        <f t="shared" ref="Q46" si="80">-1+(O46^(1/P46))</f>
        <v>7.2343744409986144E-4</v>
      </c>
      <c r="R46" s="44">
        <f t="shared" ref="R46" si="81">+(K46-Q46)/L46</f>
        <v>2.199582309098163</v>
      </c>
    </row>
    <row r="47" spans="2:18">
      <c r="B47" s="29">
        <v>42674</v>
      </c>
      <c r="C47" s="30">
        <f t="shared" si="47"/>
        <v>105976157.61000001</v>
      </c>
      <c r="D47" s="31">
        <v>108436600.97</v>
      </c>
      <c r="E47" s="50">
        <v>0</v>
      </c>
      <c r="F47" s="31">
        <v>1727712.51</v>
      </c>
      <c r="G47" s="32">
        <v>8.1808000000000002E-3</v>
      </c>
      <c r="H47" s="33">
        <f t="shared" si="76"/>
        <v>1.0081808000000001</v>
      </c>
      <c r="I47" s="48">
        <f>+H47*H46*H45*H44*H43*H42*H41*H40*H39*H38*H37*H36*H35*H34*H33*H32*H31*H30*H29*H28*H27*H26*H25*H24*H23*H22*H21*H20</f>
        <v>1.1839571900203103</v>
      </c>
      <c r="J47" s="39">
        <f t="shared" si="66"/>
        <v>0.1839571900203103</v>
      </c>
      <c r="K47" s="41">
        <f t="shared" ref="K47" si="82">+(1+J47)^(365/(B47-$B$19))-1</f>
        <v>7.6511584821302492E-2</v>
      </c>
      <c r="L47" s="32">
        <f>STDEV($G$20:G47)*(12^0.5)</f>
        <v>3.3431168037588485E-2</v>
      </c>
      <c r="M47" s="43">
        <v>1.6199999999999999E-3</v>
      </c>
      <c r="N47" s="33">
        <f t="shared" ref="N47" si="83">+N46*(1+(M47*(B47-B46)/365))</f>
        <v>100.18266562928561</v>
      </c>
      <c r="O47" s="32">
        <f t="shared" ref="O47" si="84">+N47/100</f>
        <v>1.0018266562928562</v>
      </c>
      <c r="P47" s="33">
        <f>COUNT($B$19:B47)/12</f>
        <v>2.4166666666666665</v>
      </c>
      <c r="Q47" s="32">
        <f t="shared" ref="Q47" si="85">-1+(O47^(1/P47))</f>
        <v>7.554534810532143E-4</v>
      </c>
      <c r="R47" s="44">
        <f t="shared" ref="R47" si="86">+(K47-Q47)/L47</f>
        <v>2.2660330400383417</v>
      </c>
    </row>
    <row r="48" spans="2:18">
      <c r="B48" s="29">
        <v>42704</v>
      </c>
      <c r="C48" s="30">
        <f t="shared" si="47"/>
        <v>105976157.61000001</v>
      </c>
      <c r="D48" s="31">
        <v>107932210.5</v>
      </c>
      <c r="E48" s="50">
        <v>0</v>
      </c>
      <c r="F48" s="31">
        <v>760193.5</v>
      </c>
      <c r="G48" s="32">
        <v>2.3760000000000001E-3</v>
      </c>
      <c r="H48" s="33">
        <f t="shared" si="76"/>
        <v>1.0023759999999999</v>
      </c>
      <c r="I48" s="48">
        <f>+H48*H47*H46*H45*H44*H43*H42*H41*H40*H39*H38*H37*H36*H35*H34*H33*H32*H31*H30*H29*H28*H27*H26*H25*H24*H23*H22*H21*H20</f>
        <v>1.1867702723037981</v>
      </c>
      <c r="J48" s="39">
        <f t="shared" si="66"/>
        <v>0.18677027230379806</v>
      </c>
      <c r="K48" s="41">
        <f t="shared" ref="K48:K53" si="87">+(1+J48)^(365/(B48-$B$19))-1</f>
        <v>7.4840234917024961E-2</v>
      </c>
      <c r="L48" s="32">
        <f>STDEV($G$20:G48)*(12^0.5)</f>
        <v>3.2915728299725402E-2</v>
      </c>
      <c r="M48" s="43">
        <v>3.5999999999999999E-3</v>
      </c>
      <c r="N48" s="33">
        <f t="shared" ref="N48" si="88">+N47*(1+(M48*(B48-B47)/365))</f>
        <v>100.21230871938961</v>
      </c>
      <c r="O48" s="32">
        <f t="shared" ref="O48" si="89">+N48/100</f>
        <v>1.0021230871938962</v>
      </c>
      <c r="P48" s="33">
        <f>COUNT($B$19:B48)/12</f>
        <v>2.5</v>
      </c>
      <c r="Q48" s="32">
        <f t="shared" ref="Q48" si="90">-1+(O48^(1/P48))</f>
        <v>8.486945892747233E-4</v>
      </c>
      <c r="R48" s="44">
        <f t="shared" ref="R48" si="91">+(K48-Q48)/L48</f>
        <v>2.247908345031743</v>
      </c>
    </row>
    <row r="49" spans="2:18">
      <c r="B49" s="29">
        <v>42735</v>
      </c>
      <c r="C49" s="30">
        <f>+C48+7941718.5</f>
        <v>113917876.11000001</v>
      </c>
      <c r="D49" s="31">
        <v>116344939.97</v>
      </c>
      <c r="E49" s="50">
        <v>0</v>
      </c>
      <c r="F49" s="31">
        <v>230361.67</v>
      </c>
      <c r="G49" s="32">
        <v>6.0650000000000001E-3</v>
      </c>
      <c r="H49" s="33">
        <f t="shared" si="76"/>
        <v>1.006065</v>
      </c>
      <c r="I49" s="48">
        <f>+H49*H48*H47*H46*H45*H44*H43*H42*H41*H40*H39*H38*H37*H36*H35*H34*H33*H32*H31*H30*H29*H28*H27*H26*H25*H24*H23*H22*H21*H20</f>
        <v>1.1939680340053203</v>
      </c>
      <c r="J49" s="39">
        <f t="shared" si="66"/>
        <v>0.19396803400532026</v>
      </c>
      <c r="K49" s="41">
        <f t="shared" si="87"/>
        <v>7.4803935301844593E-2</v>
      </c>
      <c r="L49" s="32">
        <f>STDEV($G$20:G49)*(12^0.5)</f>
        <v>3.2343298844322604E-2</v>
      </c>
      <c r="M49" s="43">
        <v>4.1580000000000002E-3</v>
      </c>
      <c r="N49" s="33">
        <f t="shared" ref="N49" si="92">+N48*(1+(M49*(B49-B48)/365))</f>
        <v>100.2476982157439</v>
      </c>
      <c r="O49" s="32">
        <f t="shared" ref="O49" si="93">+N49/100</f>
        <v>1.0024769821574389</v>
      </c>
      <c r="P49" s="33">
        <f>COUNT($B$19:B49)/12</f>
        <v>2.5833333333333335</v>
      </c>
      <c r="Q49" s="32">
        <f t="shared" ref="Q49" si="94">-1+(O49^(1/P49))</f>
        <v>9.5810494514636524E-4</v>
      </c>
      <c r="R49" s="44">
        <f t="shared" ref="R49" si="95">+(K49-Q49)/L49</f>
        <v>2.2831879553207908</v>
      </c>
    </row>
    <row r="50" spans="2:18">
      <c r="B50" s="29">
        <v>42766</v>
      </c>
      <c r="C50" s="30">
        <f>+C49</f>
        <v>113917876.11000001</v>
      </c>
      <c r="D50" s="31">
        <v>117497213.38</v>
      </c>
      <c r="E50" s="50">
        <v>0</v>
      </c>
      <c r="F50" s="31">
        <v>0</v>
      </c>
      <c r="G50" s="32">
        <v>9.9039000000000002E-3</v>
      </c>
      <c r="H50" s="33">
        <f t="shared" si="76"/>
        <v>1.0099039000000001</v>
      </c>
      <c r="I50" s="48">
        <f>+H50*H49*H48*H47*H46*H45*H44*H43*H42*H41*H40*H39*H38*H37*H36*H35*H34*H33*H32*H31*H30*H29*H28*H27*H26*H25*H24*H23*H22*H21*H20</f>
        <v>1.2057929740173063</v>
      </c>
      <c r="J50" s="39">
        <f t="shared" ref="J50" si="96">+I50-1</f>
        <v>0.20579297401730634</v>
      </c>
      <c r="K50" s="41">
        <f>+(1+J50)^(365/(B50-$B$19))-1</f>
        <v>7.6381224158207583E-2</v>
      </c>
      <c r="L50" s="32">
        <f>STDEV($G$20:G50)*(12^0.5)</f>
        <v>3.1893801249856933E-2</v>
      </c>
      <c r="M50" s="43">
        <v>4.614E-3</v>
      </c>
      <c r="N50" s="33">
        <f t="shared" ref="N50" si="97">+N49*(1+(M50*(B50-B49)/365))</f>
        <v>100.28698267948798</v>
      </c>
      <c r="O50" s="32">
        <f t="shared" ref="O50" si="98">+N50/100</f>
        <v>1.0028698267948797</v>
      </c>
      <c r="P50" s="33">
        <f>COUNT($B$19:B50)/12</f>
        <v>2.6666666666666665</v>
      </c>
      <c r="Q50" s="32">
        <f t="shared" ref="Q50" si="99">-1+(O50^(1/P50))</f>
        <v>1.0752214003535432E-3</v>
      </c>
      <c r="R50" s="44">
        <f t="shared" ref="R50" si="100">+(K50-Q50)/L50</f>
        <v>2.3611485557304599</v>
      </c>
    </row>
    <row r="51" spans="2:18">
      <c r="B51" s="29">
        <v>42794</v>
      </c>
      <c r="C51" s="30">
        <f>+C50+11518083</f>
        <v>125435959.11000001</v>
      </c>
      <c r="D51" s="31">
        <v>128368456.12</v>
      </c>
      <c r="E51" s="50">
        <v>0</v>
      </c>
      <c r="F51" s="31">
        <v>1266989.17</v>
      </c>
      <c r="G51" s="32">
        <v>4.8545000000000003E-3</v>
      </c>
      <c r="H51" s="33">
        <f t="shared" si="76"/>
        <v>1.0048545</v>
      </c>
      <c r="I51" s="48">
        <f>+H51*H50*H49*H48*H47*H46*H45*H44*H43*H42*H41*H40*H39*H38*H37*H36*H35*H34*H33*H32*H31*H30*H29*H28*H27*H26*H25*H24*H23*H22*H21*H20</f>
        <v>1.2116464960096729</v>
      </c>
      <c r="J51" s="39">
        <f t="shared" ref="J51" si="101">+I51-1</f>
        <v>0.21164649600967289</v>
      </c>
      <c r="K51" s="41">
        <f t="shared" si="87"/>
        <v>7.6051012731082501E-2</v>
      </c>
      <c r="L51" s="32">
        <f>STDEV($G$20:G51)*(12^0.5)</f>
        <v>3.138436933469798E-2</v>
      </c>
      <c r="M51" s="43">
        <v>4.2589999999999998E-3</v>
      </c>
      <c r="N51" s="33">
        <f t="shared" ref="N51" si="102">+N50*(1+(M51*(B51-B50)/365))</f>
        <v>100.31974822266193</v>
      </c>
      <c r="O51" s="32">
        <f t="shared" ref="O51" si="103">+N51/100</f>
        <v>1.0031974822266192</v>
      </c>
      <c r="P51" s="33">
        <f>COUNT($B$19:B51)/12</f>
        <v>2.75</v>
      </c>
      <c r="Q51" s="32">
        <f t="shared" ref="Q51" si="104">-1+(O51^(1/P51))</f>
        <v>1.1615399387463476E-3</v>
      </c>
      <c r="R51" s="44">
        <f t="shared" ref="R51" si="105">+(K51-Q51)/L51</f>
        <v>2.3862028895237266</v>
      </c>
    </row>
    <row r="52" spans="2:18">
      <c r="B52" s="29">
        <v>42825</v>
      </c>
      <c r="C52" s="30">
        <f>+C51</f>
        <v>125435959.11000001</v>
      </c>
      <c r="D52" s="31">
        <v>128208256.55</v>
      </c>
      <c r="E52" s="50">
        <v>0</v>
      </c>
      <c r="F52" s="31">
        <v>691085</v>
      </c>
      <c r="G52" s="32">
        <v>4.1580200000000001E-3</v>
      </c>
      <c r="H52" s="33">
        <f>+G52+1</f>
        <v>1.00415802</v>
      </c>
      <c r="I52" s="48">
        <f>+H52*H51*H50*H49*H48*H47*H46*H45*H44*H43*H42*H41*H40*H39*H38*H37*H36*H35*H34*H33*H32*H31*H30*H29*H28*H27*H26*H25*H24*H23*H22*H21*H20</f>
        <v>1.2166845463730116</v>
      </c>
      <c r="J52" s="39">
        <f t="shared" ref="J52" si="106">+I52-1</f>
        <v>0.2166845463730116</v>
      </c>
      <c r="K52" s="41">
        <f t="shared" si="87"/>
        <v>7.5225263546846E-2</v>
      </c>
      <c r="L52" s="32">
        <f>STDEV($G$20:G52)*(12^0.5)</f>
        <v>3.0911306588060648E-2</v>
      </c>
      <c r="M52" s="43">
        <v>7.2529999999999999E-3</v>
      </c>
      <c r="N52" s="33">
        <f t="shared" ref="N52" si="107">+N51*(1+(M52*(B52-B51)/365))</f>
        <v>100.38154601211298</v>
      </c>
      <c r="O52" s="32">
        <f t="shared" ref="O52" si="108">+N52/100</f>
        <v>1.0038154601211298</v>
      </c>
      <c r="P52" s="33">
        <f>COUNT($B$19:B52)/12</f>
        <v>2.8333333333333335</v>
      </c>
      <c r="Q52" s="32">
        <f t="shared" ref="Q52" si="109">-1+(O52^(1/P52))</f>
        <v>1.344974155260914E-3</v>
      </c>
      <c r="R52" s="44">
        <f t="shared" ref="R52" si="110">+(K52-Q52)/L52</f>
        <v>2.3900733274122099</v>
      </c>
    </row>
    <row r="53" spans="2:18">
      <c r="B53" s="29">
        <v>42855</v>
      </c>
      <c r="C53" s="30">
        <f>+C52+2303617</f>
        <v>127739576.11000001</v>
      </c>
      <c r="D53" s="31">
        <v>129933623.59</v>
      </c>
      <c r="E53" s="50">
        <v>0</v>
      </c>
      <c r="F53" s="31">
        <v>1382170.01</v>
      </c>
      <c r="G53" s="32">
        <v>6.2256799999999999E-3</v>
      </c>
      <c r="H53" s="33">
        <f>+G53+1</f>
        <v>1.00622568</v>
      </c>
      <c r="I53" s="48">
        <f>+H53*H52*H51*H50*H49*H48*H47*H46*H45*H44*H43*H42*H41*H40*H39*H38*H37*H36*H35*H34*H33*H32*H31*H30*H29*H28*H27*H26*H25*H24*H23*H22*H21*H20</f>
        <v>1.2242592350196746</v>
      </c>
      <c r="J53" s="39">
        <f t="shared" ref="J53" si="111">+I53-1</f>
        <v>0.2242592350196746</v>
      </c>
      <c r="K53" s="41">
        <f t="shared" si="87"/>
        <v>7.5319810637370477E-2</v>
      </c>
      <c r="L53" s="32">
        <f>STDEV($G$20:G53)*(12^0.5)</f>
        <v>3.043964814727736E-2</v>
      </c>
      <c r="M53" s="43">
        <v>6.5929999999999999E-3</v>
      </c>
      <c r="N53" s="33">
        <f t="shared" ref="N53" si="112">+N52*(1+(M53*(B53-B52)/365))</f>
        <v>100.43594180933417</v>
      </c>
      <c r="O53" s="32">
        <f t="shared" ref="O53" si="113">+N53/100</f>
        <v>1.0043594180933417</v>
      </c>
      <c r="P53" s="33">
        <f>COUNT($B$19:B53)/12</f>
        <v>2.9166666666666665</v>
      </c>
      <c r="Q53" s="32">
        <f t="shared" ref="Q53" si="114">-1+(O53^(1/P53))</f>
        <v>1.4925218545349672E-3</v>
      </c>
      <c r="R53" s="44">
        <f t="shared" ref="R53" si="115">+(K53-Q53)/L53</f>
        <v>2.4253660366123158</v>
      </c>
    </row>
    <row r="54" spans="2:18">
      <c r="B54" s="29">
        <v>42886</v>
      </c>
      <c r="C54" s="30">
        <f>+C53</f>
        <v>127739576.11000001</v>
      </c>
      <c r="D54" s="31">
        <v>130138909.16</v>
      </c>
      <c r="E54" s="50">
        <v>0</v>
      </c>
      <c r="F54" s="31">
        <v>921446.67</v>
      </c>
      <c r="G54" s="32">
        <v>8.5222000000000006E-3</v>
      </c>
      <c r="H54" s="33">
        <f>+G54+1</f>
        <v>1.0085222</v>
      </c>
      <c r="I54" s="48">
        <f>+H54*H53*H52*H51*H50*H49*H48*H47*H46*H45*H44*H43*H42*H41*H40*H39*H38*H37*H36*H35*H34*H33*H32*H31*H30*H29*H28*H27*H26*H25*H24*H23*H22*H21*H20</f>
        <v>1.2346926170723591</v>
      </c>
      <c r="J54" s="39">
        <f t="shared" ref="J54" si="116">+I54-1</f>
        <v>0.23469261707235911</v>
      </c>
      <c r="K54" s="41">
        <f t="shared" ref="K54" si="117">+(1+J54)^(365/(B54-$B$19))-1</f>
        <v>7.6188483761121972E-2</v>
      </c>
      <c r="L54" s="32">
        <f>STDEV($G$20:G54)*(12^0.5)</f>
        <v>3.0024842620001043E-2</v>
      </c>
      <c r="M54" s="51">
        <v>8.5730000000000008E-3</v>
      </c>
      <c r="N54" s="33">
        <f t="shared" ref="N54" si="118">+N53*(1+(M54*(B54-B53)/365))</f>
        <v>100.50907100715081</v>
      </c>
      <c r="O54" s="32">
        <f t="shared" ref="O54" si="119">+N54/100</f>
        <v>1.0050907100715081</v>
      </c>
      <c r="P54" s="33">
        <f>COUNT($B$19:B54)/12</f>
        <v>3</v>
      </c>
      <c r="Q54" s="32">
        <f t="shared" ref="Q54" si="120">-1+(O54^(1/P54))</f>
        <v>1.6940319922988945E-3</v>
      </c>
      <c r="R54" s="44">
        <f t="shared" ref="R54" si="121">+(K54-Q54)/L54</f>
        <v>2.4810938299206478</v>
      </c>
    </row>
    <row r="55" spans="2:18" ht="3.75" customHeight="1">
      <c r="B55" s="29"/>
      <c r="C55" s="30"/>
      <c r="D55" s="31"/>
      <c r="E55" s="31"/>
      <c r="F55" s="31"/>
      <c r="G55" s="32"/>
      <c r="H55" s="32"/>
      <c r="I55" s="32"/>
      <c r="J55" s="39"/>
      <c r="K55" s="41"/>
      <c r="L55" s="32"/>
      <c r="M55" s="32"/>
      <c r="N55" s="32"/>
      <c r="O55" s="32"/>
      <c r="P55" s="32"/>
      <c r="Q55" s="32"/>
      <c r="R55" s="39"/>
    </row>
    <row r="56" spans="2:18">
      <c r="B56" s="35" t="s">
        <v>13</v>
      </c>
      <c r="C56" s="36">
        <f>+C54</f>
        <v>127739576.11000001</v>
      </c>
      <c r="D56" s="37">
        <f>+D54</f>
        <v>130138909.16</v>
      </c>
      <c r="E56" s="37">
        <f>+SUM(E20:E54)</f>
        <v>9649784</v>
      </c>
      <c r="F56" s="37">
        <f>+SUM(F20:F54)</f>
        <v>18701869.210000001</v>
      </c>
      <c r="G56" s="38">
        <f>+G54</f>
        <v>8.5222000000000006E-3</v>
      </c>
      <c r="H56" s="38"/>
      <c r="I56" s="38"/>
      <c r="J56" s="40">
        <f>+J54</f>
        <v>0.23469261707235911</v>
      </c>
      <c r="K56" s="42">
        <f>+K54</f>
        <v>7.6188483761121972E-2</v>
      </c>
      <c r="L56" s="38">
        <f>+L54</f>
        <v>3.0024842620001043E-2</v>
      </c>
      <c r="M56" s="38"/>
      <c r="N56" s="38"/>
      <c r="O56" s="38"/>
      <c r="P56" s="38"/>
      <c r="Q56" s="38"/>
      <c r="R56" s="45">
        <f>R54</f>
        <v>2.4810938299206478</v>
      </c>
    </row>
    <row r="57" spans="2:18">
      <c r="B57" s="9"/>
      <c r="C57" s="2"/>
      <c r="D57" s="2"/>
      <c r="E57" s="8"/>
      <c r="F57" s="8"/>
      <c r="G57" s="8"/>
      <c r="H57" s="8"/>
      <c r="I57" s="8"/>
      <c r="J57" s="4"/>
      <c r="K57" s="4"/>
      <c r="L57" s="4"/>
      <c r="M57" s="4"/>
      <c r="N57" s="4"/>
      <c r="O57" s="4"/>
      <c r="P57" s="4"/>
      <c r="Q57" s="4"/>
    </row>
    <row r="58" spans="2:18" s="1" customFormat="1"/>
  </sheetData>
  <mergeCells count="1">
    <mergeCell ref="K9:R9"/>
  </mergeCells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2:C49 C51 C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2017-07-19T18:03:20Z</dcterms:modified>
</cp:coreProperties>
</file>