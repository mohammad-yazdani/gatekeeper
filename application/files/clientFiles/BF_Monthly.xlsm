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135" windowWidth="15195" windowHeight="889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E50" i="11" l="1"/>
  <c r="F50" i="11"/>
  <c r="D50" i="11"/>
  <c r="C48" i="11"/>
  <c r="C50" i="11" s="1"/>
  <c r="Q48" i="11"/>
  <c r="O48" i="11"/>
  <c r="P48" i="11" s="1"/>
  <c r="M48" i="11"/>
  <c r="M50" i="11" s="1"/>
  <c r="G48" i="11"/>
  <c r="H48" i="11" s="1"/>
  <c r="R48" i="11" l="1"/>
  <c r="J48" i="11"/>
  <c r="J50" i="11" s="1"/>
  <c r="K48" i="11"/>
  <c r="I48" i="11"/>
  <c r="I50" i="11" s="1"/>
  <c r="L48" i="11" l="1"/>
  <c r="K50" i="11"/>
  <c r="C47" i="11"/>
  <c r="G47" i="11"/>
  <c r="H47" i="11" s="1"/>
  <c r="Q47" i="11"/>
  <c r="O47" i="11"/>
  <c r="P47" i="11" s="1"/>
  <c r="R47" i="11" s="1"/>
  <c r="M47" i="11"/>
  <c r="S48" i="11" l="1"/>
  <c r="S50" i="11" s="1"/>
  <c r="L50" i="11"/>
  <c r="K47" i="11"/>
  <c r="I47" i="11"/>
  <c r="J47" i="11"/>
  <c r="L47" i="11"/>
  <c r="C46" i="11"/>
  <c r="S47" i="11" l="1"/>
  <c r="G46" i="11"/>
  <c r="Q46" i="11"/>
  <c r="M46" i="11"/>
  <c r="C45" i="11" l="1"/>
  <c r="G45" i="11" l="1"/>
  <c r="H46" i="11" s="1"/>
  <c r="Q45" i="11"/>
  <c r="M45" i="11"/>
  <c r="J46" i="11" l="1"/>
  <c r="K46" i="11"/>
  <c r="I46" i="11"/>
  <c r="H45" i="11"/>
  <c r="J45" i="11" s="1"/>
  <c r="J44" i="11"/>
  <c r="L46" i="11" l="1"/>
  <c r="K45" i="11"/>
  <c r="L45" i="11" s="1"/>
  <c r="I45" i="11"/>
  <c r="C43" i="11"/>
  <c r="C33" i="11"/>
  <c r="C27" i="11"/>
  <c r="C44" i="11" l="1"/>
  <c r="E14" i="11"/>
  <c r="F13" i="11" s="1"/>
  <c r="G44" i="11"/>
  <c r="H44" i="11"/>
  <c r="I44" i="11"/>
  <c r="M44" i="11"/>
  <c r="K44" i="11"/>
  <c r="L44" i="11"/>
  <c r="O44" i="11"/>
  <c r="O45" i="11" s="1"/>
  <c r="Q44" i="11"/>
  <c r="O43" i="11"/>
  <c r="P43" i="11"/>
  <c r="R43" i="11"/>
  <c r="S43" i="11"/>
  <c r="H43" i="11"/>
  <c r="G43" i="11"/>
  <c r="K43" i="11"/>
  <c r="L43" i="11"/>
  <c r="Q43" i="11"/>
  <c r="M43" i="11"/>
  <c r="I43" i="11"/>
  <c r="H42" i="11"/>
  <c r="M42" i="11"/>
  <c r="G42" i="11"/>
  <c r="K42" i="11"/>
  <c r="L42" i="11"/>
  <c r="I42" i="11"/>
  <c r="O42" i="11"/>
  <c r="P42" i="11"/>
  <c r="Q42" i="11"/>
  <c r="R42" i="11"/>
  <c r="S42" i="11"/>
  <c r="C42" i="11"/>
  <c r="L41" i="11"/>
  <c r="K41" i="11"/>
  <c r="H41" i="11"/>
  <c r="O41" i="11"/>
  <c r="P41" i="11"/>
  <c r="R41" i="11"/>
  <c r="S41" i="11"/>
  <c r="G41" i="11"/>
  <c r="Q41" i="11"/>
  <c r="M41" i="11"/>
  <c r="I41" i="11"/>
  <c r="C41" i="11"/>
  <c r="G40" i="11"/>
  <c r="H40" i="11"/>
  <c r="K40" i="11"/>
  <c r="L40" i="11"/>
  <c r="M40" i="11"/>
  <c r="O40" i="11"/>
  <c r="P40" i="11"/>
  <c r="R40" i="11"/>
  <c r="S40" i="11"/>
  <c r="I40" i="11"/>
  <c r="Q40" i="11"/>
  <c r="C40" i="11"/>
  <c r="S39" i="11"/>
  <c r="M39" i="11"/>
  <c r="G39" i="11"/>
  <c r="H39" i="11"/>
  <c r="K39" i="11"/>
  <c r="L39" i="11"/>
  <c r="O39" i="11"/>
  <c r="P39" i="11"/>
  <c r="Q39" i="11"/>
  <c r="R39" i="11"/>
  <c r="I39" i="11"/>
  <c r="C39" i="11"/>
  <c r="H38" i="11"/>
  <c r="I38" i="11"/>
  <c r="G38" i="11"/>
  <c r="K38" i="11"/>
  <c r="L38" i="11"/>
  <c r="O38" i="11"/>
  <c r="P38" i="11"/>
  <c r="Q38" i="11"/>
  <c r="R38" i="11"/>
  <c r="M38" i="11"/>
  <c r="S38" i="11"/>
  <c r="C38" i="11"/>
  <c r="C30" i="11"/>
  <c r="C31" i="11"/>
  <c r="C35" i="11"/>
  <c r="G37" i="11"/>
  <c r="H37" i="11"/>
  <c r="I37" i="11"/>
  <c r="C37" i="11"/>
  <c r="K37" i="11"/>
  <c r="L37" i="11"/>
  <c r="O37" i="11"/>
  <c r="P37" i="11"/>
  <c r="Q37" i="11"/>
  <c r="R37" i="11"/>
  <c r="M37" i="11"/>
  <c r="S37" i="11"/>
  <c r="M36" i="11"/>
  <c r="G36" i="11"/>
  <c r="H36" i="11"/>
  <c r="K36" i="11"/>
  <c r="L36" i="11"/>
  <c r="I36" i="11"/>
  <c r="C36" i="11"/>
  <c r="O36" i="11"/>
  <c r="P36" i="11"/>
  <c r="Q36" i="11"/>
  <c r="R36" i="11"/>
  <c r="S36" i="11"/>
  <c r="G35" i="11"/>
  <c r="H35" i="11"/>
  <c r="K35" i="11"/>
  <c r="L35" i="11"/>
  <c r="O33" i="11"/>
  <c r="O34" i="11"/>
  <c r="O35" i="11"/>
  <c r="P35" i="11"/>
  <c r="Q35" i="11"/>
  <c r="R35" i="11"/>
  <c r="M35" i="11"/>
  <c r="S35" i="11"/>
  <c r="I35" i="11"/>
  <c r="C28" i="11"/>
  <c r="C29" i="11"/>
  <c r="C32" i="11"/>
  <c r="C34" i="11"/>
  <c r="G34" i="11"/>
  <c r="H34" i="11"/>
  <c r="I34" i="11"/>
  <c r="K34" i="11"/>
  <c r="L34" i="11"/>
  <c r="P34" i="11"/>
  <c r="Q34" i="11"/>
  <c r="R34" i="11"/>
  <c r="M34" i="11"/>
  <c r="S34" i="11"/>
  <c r="G33" i="11"/>
  <c r="G26" i="11"/>
  <c r="H33" i="11"/>
  <c r="K33" i="11"/>
  <c r="L33" i="11"/>
  <c r="P33" i="11"/>
  <c r="Q33" i="11"/>
  <c r="R33" i="11"/>
  <c r="M33" i="11"/>
  <c r="S33" i="11"/>
  <c r="H31" i="11"/>
  <c r="I33" i="11"/>
  <c r="H32" i="11"/>
  <c r="K32" i="11"/>
  <c r="L32" i="11"/>
  <c r="K21" i="11"/>
  <c r="G32" i="11"/>
  <c r="Q32" i="11"/>
  <c r="O32" i="11"/>
  <c r="P32" i="11"/>
  <c r="M32" i="11"/>
  <c r="R32" i="11"/>
  <c r="I32" i="11"/>
  <c r="G31" i="11"/>
  <c r="M31" i="11"/>
  <c r="S32" i="11"/>
  <c r="I31" i="11"/>
  <c r="K31" i="11"/>
  <c r="H30" i="11"/>
  <c r="L31" i="11"/>
  <c r="G30" i="11"/>
  <c r="M30" i="11"/>
  <c r="Q30" i="11"/>
  <c r="Q31" i="11"/>
  <c r="O30" i="11"/>
  <c r="K30" i="11"/>
  <c r="I30" i="11"/>
  <c r="H29" i="11"/>
  <c r="K29" i="11"/>
  <c r="P30" i="11"/>
  <c r="R30" i="11"/>
  <c r="O31" i="11"/>
  <c r="P31" i="11"/>
  <c r="R31" i="11"/>
  <c r="S31" i="11"/>
  <c r="L30" i="11"/>
  <c r="G29" i="11"/>
  <c r="Q29" i="11"/>
  <c r="M29" i="11"/>
  <c r="S30" i="11"/>
  <c r="G28" i="11"/>
  <c r="Q26" i="11"/>
  <c r="Q27" i="11"/>
  <c r="Q28" i="11"/>
  <c r="M28" i="11"/>
  <c r="G27" i="11"/>
  <c r="M27" i="11"/>
  <c r="M26" i="11"/>
  <c r="G25" i="11"/>
  <c r="Q25" i="11"/>
  <c r="M25" i="11"/>
  <c r="Q24" i="11"/>
  <c r="M24" i="11"/>
  <c r="G24" i="11"/>
  <c r="G23" i="11"/>
  <c r="G22" i="11"/>
  <c r="G21" i="11"/>
  <c r="H25" i="11"/>
  <c r="H24" i="11"/>
  <c r="H28" i="11"/>
  <c r="H27" i="11"/>
  <c r="H26" i="11"/>
  <c r="I26" i="11"/>
  <c r="K26" i="11"/>
  <c r="L26" i="11"/>
  <c r="I28" i="11"/>
  <c r="K28" i="11"/>
  <c r="L28" i="11"/>
  <c r="K25" i="11"/>
  <c r="L25" i="11"/>
  <c r="I25" i="11"/>
  <c r="K27" i="11"/>
  <c r="L27" i="11"/>
  <c r="I27" i="11"/>
  <c r="I24" i="11"/>
  <c r="K24" i="11"/>
  <c r="L24" i="11"/>
  <c r="I29" i="11"/>
  <c r="H23" i="11"/>
  <c r="K23" i="11"/>
  <c r="L23" i="11"/>
  <c r="H22" i="11"/>
  <c r="K22" i="11"/>
  <c r="L22" i="11"/>
  <c r="H21" i="11"/>
  <c r="L21" i="11"/>
  <c r="I23" i="11"/>
  <c r="I22" i="11"/>
  <c r="I21" i="11"/>
  <c r="L29" i="11"/>
  <c r="M23" i="11"/>
  <c r="M22" i="11"/>
  <c r="Q23" i="11"/>
  <c r="C21" i="11"/>
  <c r="C22" i="11"/>
  <c r="C23" i="11"/>
  <c r="C24" i="11"/>
  <c r="C25" i="11"/>
  <c r="C26" i="11"/>
  <c r="Q21" i="11"/>
  <c r="Q22" i="11"/>
  <c r="Q20" i="11"/>
  <c r="O21" i="11"/>
  <c r="O22" i="11"/>
  <c r="P22" i="11"/>
  <c r="R22" i="11"/>
  <c r="O23" i="11"/>
  <c r="S9" i="11"/>
  <c r="S14" i="11" s="1"/>
  <c r="P23" i="11"/>
  <c r="R23" i="11"/>
  <c r="S23" i="11"/>
  <c r="O24" i="11"/>
  <c r="S22" i="11"/>
  <c r="P24" i="11"/>
  <c r="R24" i="11"/>
  <c r="S24" i="11"/>
  <c r="O25" i="11"/>
  <c r="P20" i="11"/>
  <c r="R20" i="11"/>
  <c r="O26" i="11"/>
  <c r="P25" i="11"/>
  <c r="R25" i="11"/>
  <c r="S25" i="11"/>
  <c r="P21" i="11"/>
  <c r="P26" i="11"/>
  <c r="R26" i="11"/>
  <c r="S26" i="11"/>
  <c r="O27" i="11"/>
  <c r="R21" i="11"/>
  <c r="P27" i="11"/>
  <c r="R27" i="11"/>
  <c r="S27" i="11"/>
  <c r="O28" i="11"/>
  <c r="P28" i="11"/>
  <c r="R28" i="11"/>
  <c r="S28" i="11"/>
  <c r="O29" i="11"/>
  <c r="P29" i="11"/>
  <c r="R29" i="11"/>
  <c r="S29" i="11"/>
  <c r="P45" i="11" l="1"/>
  <c r="R45" i="11" s="1"/>
  <c r="S45" i="11" s="1"/>
  <c r="O46" i="11"/>
  <c r="P46" i="11" s="1"/>
  <c r="R46" i="11" s="1"/>
  <c r="S46" i="11" s="1"/>
  <c r="S13" i="11"/>
  <c r="P44" i="11"/>
  <c r="R44" i="11" s="1"/>
  <c r="S44" i="11" s="1"/>
</calcChain>
</file>

<file path=xl/sharedStrings.xml><?xml version="1.0" encoding="utf-8"?>
<sst xmlns="http://schemas.openxmlformats.org/spreadsheetml/2006/main" count="39" uniqueCount="31">
  <si>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</si>
  <si>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</si>
  <si>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</si>
  <si>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</si>
  <si>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</si>
  <si>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</si>
  <si>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</si>
  <si>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</si>
  <si>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</si>
  <si>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</si>
  <si>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</si>
  <si>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</si>
  <si>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</si>
  <si>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</si>
  <si>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</si>
  <si>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</si>
  <si>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</si>
  <si>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</si>
  <si>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</si>
  <si>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</si>
  <si>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</si>
  <si>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 xml:space="preserve">WAL </t>
  </si>
  <si>
    <t>mat</t>
  </si>
  <si>
    <t>final mat</t>
  </si>
  <si>
    <t>Berkley Insurance Company</t>
  </si>
  <si>
    <t>Black Forest LLC</t>
  </si>
  <si>
    <t>Unhide</t>
  </si>
  <si>
    <t>NAVPU</t>
  </si>
  <si>
    <t>ADD QTD</t>
  </si>
  <si>
    <t xml:space="preserve">YTD Return 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</si>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</sst>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-* #,##0.00000_-;\-* #,##0.00000_-;_-* &quot;-&quot;??_-;_-@_-"/>
    <numFmt numFmtId="173" formatCode="[$-F800]dddd\,\ mmmm\ dd\,\ yyyy"/>
    <numFmt numFmtId="174" formatCode="[$€-2]\ #,##0.00000;[Red]\-[$€-2]\ #,##0.000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3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71" fontId="54" fillId="46" borderId="0" xfId="31499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54" fillId="46" borderId="0" xfId="31498" applyNumberFormat="1" applyFont="1" applyFill="1" applyBorder="1"/>
    <xf numFmtId="173" fontId="0" fillId="46" borderId="0" xfId="0" applyNumberFormat="1" applyFill="1"/>
    <xf numFmtId="0" fontId="0" fillId="46" borderId="0" xfId="0" applyNumberFormat="1" applyFill="1"/>
    <xf numFmtId="168" fontId="54" fillId="46" borderId="23" xfId="0" applyNumberFormat="1" applyFont="1" applyFill="1" applyBorder="1" applyAlignment="1">
      <alignment wrapText="1"/>
    </xf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7" fontId="0" fillId="49" borderId="0" xfId="0" applyFill="1"/>
    <xf numFmtId="174" fontId="0" fillId="46" borderId="0" xfId="0" applyNumberFormat="1" applyFont="1" applyFill="1"/>
    <xf numFmtId="170" fontId="54" fillId="46" borderId="0" xfId="0" applyNumberFormat="1" applyFont="1" applyFill="1" applyBorder="1"/>
    <xf numFmtId="167" fontId="0" fillId="46" borderId="0" xfId="0" applyFont="1" applyFill="1" applyBorder="1"/>
    <xf numFmtId="169" fontId="0" fillId="46" borderId="0" xfId="31498" applyNumberFormat="1" applyFont="1" applyFill="1"/>
    <xf numFmtId="165" fontId="54" fillId="49" borderId="0" xfId="0" applyNumberFormat="1" applyFont="1" applyFill="1" applyBorder="1"/>
    <xf numFmtId="171" fontId="54" fillId="46" borderId="27" xfId="31499" applyNumberFormat="1" applyFont="1" applyFill="1" applyBorder="1"/>
    <xf numFmtId="164" fontId="54" fillId="46" borderId="0" xfId="31499" applyNumberFormat="1" applyFont="1" applyFill="1" applyBorder="1"/>
    <xf numFmtId="171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64" fontId="54" fillId="46" borderId="23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161925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S58"/>
  <sheetViews>
    <sheetView tabSelected="1" workbookViewId="0">
      <selection activeCell="V6" sqref="V6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4.28515625" style="3" customWidth="1"/>
    <col min="6" max="6" width="15.28515625" style="3" customWidth="1"/>
    <col min="7" max="8" width="19" style="3" hidden="1" customWidth="1"/>
    <col min="9" max="9" width="14.85546875" style="3" hidden="1" customWidth="1"/>
    <col min="10" max="10" width="12.7109375" style="3" customWidth="1"/>
    <col min="11" max="11" width="15.140625" style="3" customWidth="1"/>
    <col min="12" max="12" width="17" style="3" customWidth="1"/>
    <col min="13" max="18" width="14.85546875" style="3" customWidth="1"/>
    <col min="19" max="19" width="16.5703125" style="3" customWidth="1"/>
    <col min="20" max="16384" width="9.140625" style="3"/>
  </cols>
  <sheetData>
    <row r="2" spans="2:19">
      <c r="L2" s="11"/>
      <c r="M2" s="11"/>
      <c r="N2" s="11"/>
      <c r="O2" s="11"/>
      <c r="P2" s="11"/>
      <c r="Q2" s="11"/>
      <c r="R2" s="11"/>
      <c r="S2" s="11"/>
    </row>
    <row r="3" spans="2:19">
      <c r="L3" s="11"/>
      <c r="M3" s="11"/>
      <c r="N3" s="11"/>
      <c r="O3" s="11"/>
      <c r="P3" s="11"/>
      <c r="Q3" s="11"/>
      <c r="R3" s="11"/>
      <c r="S3" s="11"/>
    </row>
    <row r="4" spans="2:19">
      <c r="L4" s="11"/>
      <c r="M4" s="11"/>
      <c r="N4" s="11"/>
      <c r="O4" s="11"/>
      <c r="P4" s="11"/>
      <c r="Q4" s="11"/>
      <c r="R4" s="11"/>
      <c r="S4" s="11"/>
    </row>
    <row r="5" spans="2:19">
      <c r="L5" s="11"/>
      <c r="M5" s="11"/>
      <c r="N5" s="11"/>
      <c r="O5" s="11"/>
      <c r="P5" s="11"/>
      <c r="Q5" s="11"/>
      <c r="R5" s="11"/>
      <c r="S5" s="11"/>
    </row>
    <row r="6" spans="2:19">
      <c r="L6" s="11"/>
      <c r="M6" s="11"/>
      <c r="N6" s="11"/>
      <c r="O6" s="11"/>
      <c r="P6" s="11"/>
      <c r="Q6" s="11"/>
      <c r="R6" s="11"/>
      <c r="S6" s="11"/>
    </row>
    <row r="7" spans="2:19">
      <c r="L7" s="11"/>
      <c r="M7" s="11"/>
      <c r="N7" s="11"/>
      <c r="O7" s="11"/>
      <c r="P7" s="11"/>
      <c r="Q7" s="11"/>
      <c r="R7" s="11"/>
      <c r="S7" s="11"/>
    </row>
    <row r="8" spans="2:19">
      <c r="L8" s="11"/>
      <c r="M8" s="11"/>
      <c r="N8" s="11"/>
      <c r="O8" s="11"/>
      <c r="P8" s="11"/>
      <c r="Q8" s="11"/>
      <c r="R8" s="11"/>
      <c r="S8" s="11" t="s">
        <v>21</v>
      </c>
    </row>
    <row r="9" spans="2:19" s="1" customFormat="1">
      <c r="B9" s="5" t="s">
        <v>2</v>
      </c>
      <c r="D9" s="25"/>
      <c r="E9" s="26" t="s">
        <v>25</v>
      </c>
      <c r="G9" s="15"/>
      <c r="H9" s="15"/>
      <c r="I9" s="15"/>
      <c r="J9" s="15"/>
      <c r="L9" s="11"/>
      <c r="M9" s="11"/>
      <c r="N9" s="11"/>
      <c r="O9" s="11"/>
      <c r="P9" s="11"/>
      <c r="Q9" s="11"/>
      <c r="S9" s="47">
        <f>E11</f>
        <v>42886</v>
      </c>
    </row>
    <row r="10" spans="2:19" s="1" customFormat="1">
      <c r="B10" s="5" t="s">
        <v>3</v>
      </c>
      <c r="D10" s="25"/>
      <c r="E10" s="26" t="s">
        <v>24</v>
      </c>
      <c r="G10" s="15"/>
      <c r="H10" s="15"/>
      <c r="I10" s="15"/>
      <c r="J10" s="15"/>
      <c r="L10" s="11"/>
      <c r="M10" s="11"/>
      <c r="N10" s="11"/>
      <c r="O10" s="11"/>
      <c r="P10" s="11"/>
      <c r="Q10" s="11"/>
    </row>
    <row r="11" spans="2:19" s="1" customFormat="1">
      <c r="B11" s="5" t="s">
        <v>4</v>
      </c>
      <c r="D11" s="25"/>
      <c r="E11" s="27">
        <v>42886</v>
      </c>
      <c r="G11" s="16"/>
      <c r="H11" s="16"/>
      <c r="I11" s="16"/>
      <c r="J11" s="16"/>
      <c r="R11" s="1" t="s">
        <v>22</v>
      </c>
      <c r="S11" s="47">
        <v>42419</v>
      </c>
    </row>
    <row r="12" spans="2:19" s="1" customFormat="1">
      <c r="B12" s="5" t="s">
        <v>19</v>
      </c>
      <c r="D12" s="25"/>
      <c r="E12" s="28">
        <v>1</v>
      </c>
      <c r="G12" s="16"/>
      <c r="H12" s="16"/>
      <c r="I12" s="16"/>
      <c r="J12" s="16"/>
      <c r="R12" s="1" t="s">
        <v>23</v>
      </c>
      <c r="S12" s="47">
        <v>42779</v>
      </c>
    </row>
    <row r="13" spans="2:19" s="1" customFormat="1">
      <c r="B13" s="5" t="s">
        <v>12</v>
      </c>
      <c r="D13" s="25"/>
      <c r="E13" s="28">
        <v>25000000</v>
      </c>
      <c r="F13" s="56">
        <f>E13-E14</f>
        <v>21290006.82</v>
      </c>
      <c r="G13" s="17"/>
      <c r="H13" s="17"/>
      <c r="I13" s="17"/>
      <c r="J13" s="17"/>
      <c r="S13" s="48">
        <f>(YEAR(S11)-YEAR(S9))*12+MONTH(S11)-MONTH(S9)</f>
        <v>-15</v>
      </c>
    </row>
    <row r="14" spans="2:19" s="1" customFormat="1">
      <c r="B14" s="5" t="s">
        <v>5</v>
      </c>
      <c r="D14" s="25"/>
      <c r="E14" s="28">
        <f>E13-C50</f>
        <v>3709993.1799999997</v>
      </c>
      <c r="F14" s="50" t="s">
        <v>26</v>
      </c>
      <c r="G14" s="17"/>
      <c r="H14" s="17"/>
      <c r="I14" s="17"/>
      <c r="J14" s="17"/>
      <c r="S14" s="48">
        <f>(YEAR(S12)-YEAR(S9))*12+MONTH(S12)-MONTH(S9)</f>
        <v>-3</v>
      </c>
    </row>
    <row r="15" spans="2:19" s="1" customFormat="1">
      <c r="B15" s="5"/>
      <c r="D15" s="6"/>
      <c r="F15" s="7"/>
      <c r="G15" s="7" t="s">
        <v>30</v>
      </c>
      <c r="H15" s="7" t="s">
        <v>30</v>
      </c>
      <c r="I15" s="7" t="s">
        <v>30</v>
      </c>
      <c r="J15" s="7"/>
      <c r="K15" s="52" t="s">
        <v>28</v>
      </c>
    </row>
    <row r="16" spans="2:19" s="1" customFormat="1">
      <c r="B16" s="5"/>
      <c r="D16" s="6"/>
      <c r="F16" s="7"/>
      <c r="G16" s="7"/>
      <c r="H16" s="7"/>
      <c r="I16" s="7"/>
      <c r="J16" s="7"/>
    </row>
    <row r="17" spans="2:19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0"/>
      <c r="J17" s="20" t="s">
        <v>10</v>
      </c>
      <c r="K17" s="21" t="s">
        <v>11</v>
      </c>
      <c r="L17" s="19" t="s">
        <v>8</v>
      </c>
      <c r="M17" s="20" t="s">
        <v>15</v>
      </c>
      <c r="N17" s="20"/>
      <c r="O17" s="20"/>
      <c r="P17" s="20"/>
      <c r="Q17" s="20"/>
      <c r="R17" s="20"/>
      <c r="S17" s="21" t="s">
        <v>15</v>
      </c>
    </row>
    <row r="18" spans="2:19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3" t="s">
        <v>27</v>
      </c>
      <c r="J18" s="23" t="s">
        <v>29</v>
      </c>
      <c r="K18" s="24" t="s">
        <v>9</v>
      </c>
      <c r="L18" s="22" t="s">
        <v>9</v>
      </c>
      <c r="M18" s="23" t="s">
        <v>16</v>
      </c>
      <c r="N18" s="23" t="s">
        <v>17</v>
      </c>
      <c r="O18" s="23"/>
      <c r="P18" s="23"/>
      <c r="Q18" s="23"/>
      <c r="R18" s="23"/>
      <c r="S18" s="24" t="s">
        <v>14</v>
      </c>
    </row>
    <row r="19" spans="2:19" hidden="1">
      <c r="B19" s="10"/>
      <c r="C19" s="12"/>
      <c r="D19" s="13"/>
      <c r="E19" s="13"/>
      <c r="F19" s="13"/>
      <c r="G19" s="13"/>
      <c r="H19" s="13"/>
      <c r="I19" s="13"/>
      <c r="J19" s="13"/>
      <c r="K19" s="14"/>
      <c r="L19" s="12"/>
      <c r="M19" s="13"/>
      <c r="N19" s="13" t="s">
        <v>17</v>
      </c>
      <c r="O19" s="13"/>
      <c r="P19" s="13"/>
      <c r="Q19" s="13"/>
      <c r="R19" s="13"/>
      <c r="S19" s="14"/>
    </row>
    <row r="20" spans="2:19">
      <c r="B20" s="29">
        <v>42035</v>
      </c>
      <c r="C20" s="49">
        <v>5320280</v>
      </c>
      <c r="D20" s="31">
        <v>5618337</v>
      </c>
      <c r="E20" s="31">
        <v>0</v>
      </c>
      <c r="F20" s="59">
        <v>0</v>
      </c>
      <c r="G20" s="33"/>
      <c r="H20" s="34"/>
      <c r="I20" s="34">
        <v>1000</v>
      </c>
      <c r="J20" s="34">
        <v>0</v>
      </c>
      <c r="K20" s="60"/>
      <c r="L20" s="62">
        <v>0</v>
      </c>
      <c r="M20" s="32"/>
      <c r="N20" s="43">
        <v>1.01E-4</v>
      </c>
      <c r="O20" s="35">
        <v>100</v>
      </c>
      <c r="P20" s="32">
        <f>+O20/100</f>
        <v>1</v>
      </c>
      <c r="Q20" s="33">
        <f>COUNT($B$20:B20)/12</f>
        <v>8.3333333333333329E-2</v>
      </c>
      <c r="R20" s="32">
        <f>-1+(P20^(1/Q20))</f>
        <v>0</v>
      </c>
      <c r="S20" s="40"/>
    </row>
    <row r="21" spans="2:19">
      <c r="B21" s="29">
        <v>42063</v>
      </c>
      <c r="C21" s="30">
        <f>+C20</f>
        <v>5320280</v>
      </c>
      <c r="D21" s="31">
        <v>5568799.6600000001</v>
      </c>
      <c r="E21" s="31">
        <v>0</v>
      </c>
      <c r="F21" s="32">
        <v>-8.8170799999999997E-3</v>
      </c>
      <c r="G21" s="46">
        <f t="shared" ref="G21:G26" si="0">+F21+1</f>
        <v>0.99118291999999997</v>
      </c>
      <c r="H21" s="51">
        <f>+G21</f>
        <v>0.99118291999999997</v>
      </c>
      <c r="I21" s="34">
        <f t="shared" ref="I21:I30" si="1">H21*1000</f>
        <v>991.18291999999997</v>
      </c>
      <c r="J21" s="59">
        <v>0</v>
      </c>
      <c r="K21" s="40">
        <f>+H21-1</f>
        <v>-8.8170800000000327E-3</v>
      </c>
      <c r="L21" s="41">
        <f t="shared" ref="L21:L29" si="2">+(1+K21)^(365/(B21-$B$20))-1</f>
        <v>-0.10903188524631879</v>
      </c>
      <c r="M21" s="32"/>
      <c r="N21" s="43">
        <v>2.03E-4</v>
      </c>
      <c r="O21" s="33">
        <f t="shared" ref="O21:O29" si="3">+O20*(1+(N21*(B21-B20)/365))</f>
        <v>100.00155726027398</v>
      </c>
      <c r="P21" s="32">
        <f t="shared" ref="P21" si="4">+O21/100</f>
        <v>1.0000155726027398</v>
      </c>
      <c r="Q21" s="33">
        <f>COUNT($B$20:B21)/12</f>
        <v>0.16666666666666666</v>
      </c>
      <c r="R21" s="32">
        <f t="shared" ref="R21" si="5">-1+(P21^(1/Q21))</f>
        <v>9.34392541036555E-5</v>
      </c>
      <c r="S21" s="44"/>
    </row>
    <row r="22" spans="2:19">
      <c r="B22" s="29">
        <v>42094</v>
      </c>
      <c r="C22" s="30">
        <f>+C21+575904</f>
        <v>5896184</v>
      </c>
      <c r="D22" s="31">
        <v>6193014.3899999997</v>
      </c>
      <c r="E22" s="31">
        <v>0</v>
      </c>
      <c r="F22" s="32">
        <v>7.069428E-3</v>
      </c>
      <c r="G22" s="46">
        <f t="shared" si="0"/>
        <v>1.0070694280000001</v>
      </c>
      <c r="H22" s="51">
        <f>+G22*G21</f>
        <v>0.99819001628776982</v>
      </c>
      <c r="I22" s="34">
        <f t="shared" si="1"/>
        <v>998.19001628776982</v>
      </c>
      <c r="J22" s="59">
        <v>0</v>
      </c>
      <c r="K22" s="40">
        <f t="shared" ref="K22:K29" si="6">+H22-1</f>
        <v>-1.8099837122301787E-3</v>
      </c>
      <c r="L22" s="41">
        <f t="shared" si="2"/>
        <v>-1.1144932536941154E-2</v>
      </c>
      <c r="M22" s="32">
        <f>STDEV($F$21:F22)*(12^0.5)</f>
        <v>3.8913838394642901E-2</v>
      </c>
      <c r="N22" s="43">
        <v>1.01E-4</v>
      </c>
      <c r="O22" s="33">
        <f t="shared" si="3"/>
        <v>100.00241508185145</v>
      </c>
      <c r="P22" s="32">
        <f t="shared" ref="P22:P27" si="7">+O22/100</f>
        <v>1.0000241508185146</v>
      </c>
      <c r="Q22" s="33">
        <f>COUNT($B$20:B22)/12</f>
        <v>0.25</v>
      </c>
      <c r="R22" s="32">
        <f t="shared" ref="R22:R27" si="8">-1+(P22^(1/Q22))</f>
        <v>9.6606773686946923E-5</v>
      </c>
      <c r="S22" s="44">
        <f t="shared" ref="S22:S27" si="9">+(L22-R22)/M22</f>
        <v>-0.28888281841083235</v>
      </c>
    </row>
    <row r="23" spans="2:19">
      <c r="B23" s="29">
        <v>42124</v>
      </c>
      <c r="C23" s="30">
        <f>+C22+3359440.99</f>
        <v>9255624.9900000002</v>
      </c>
      <c r="D23" s="31">
        <v>9742575.2799999993</v>
      </c>
      <c r="E23" s="31">
        <v>0</v>
      </c>
      <c r="F23" s="32">
        <v>1.990273E-2</v>
      </c>
      <c r="G23" s="46">
        <f t="shared" si="0"/>
        <v>1.0199027300000001</v>
      </c>
      <c r="H23" s="51">
        <f>+G23*G22*G21</f>
        <v>1.018056722670641</v>
      </c>
      <c r="I23" s="34">
        <f t="shared" si="1"/>
        <v>1018.056722670641</v>
      </c>
      <c r="J23" s="59">
        <v>0</v>
      </c>
      <c r="K23" s="40">
        <f t="shared" si="6"/>
        <v>1.8056722670640957E-2</v>
      </c>
      <c r="L23" s="41">
        <f t="shared" si="2"/>
        <v>7.6152538667583869E-2</v>
      </c>
      <c r="M23" s="32">
        <f>STDEV($F$21:F23)*(12^0.5)</f>
        <v>4.9837782115446663E-2</v>
      </c>
      <c r="N23" s="43">
        <v>-1.5200000000000001E-4</v>
      </c>
      <c r="O23" s="33">
        <f t="shared" si="3"/>
        <v>100.00116573661097</v>
      </c>
      <c r="P23" s="32">
        <f t="shared" si="7"/>
        <v>1.0000116573661098</v>
      </c>
      <c r="Q23" s="33">
        <f>COUNT($B$20:B23)/12</f>
        <v>0.33333333333333331</v>
      </c>
      <c r="R23" s="32">
        <f t="shared" si="8"/>
        <v>3.4972506013364324E-5</v>
      </c>
      <c r="S23" s="44">
        <f t="shared" si="9"/>
        <v>1.5273064516644836</v>
      </c>
    </row>
    <row r="24" spans="2:19">
      <c r="B24" s="29">
        <v>42155</v>
      </c>
      <c r="C24" s="30">
        <f>+C23+3019178</f>
        <v>12274802.99</v>
      </c>
      <c r="D24" s="31">
        <v>12794159.82</v>
      </c>
      <c r="E24" s="31">
        <v>0</v>
      </c>
      <c r="F24" s="32">
        <v>2.5393797999999999E-3</v>
      </c>
      <c r="G24" s="46">
        <f t="shared" si="0"/>
        <v>1.0025393798</v>
      </c>
      <c r="H24" s="51">
        <f>+G24*G23*G22*G21</f>
        <v>1.0206419553474451</v>
      </c>
      <c r="I24" s="34">
        <f t="shared" si="1"/>
        <v>1020.6419553474451</v>
      </c>
      <c r="J24" s="59">
        <v>0</v>
      </c>
      <c r="K24" s="40">
        <f t="shared" si="6"/>
        <v>2.0641955347445062E-2</v>
      </c>
      <c r="L24" s="41">
        <f t="shared" si="2"/>
        <v>6.4118457365382797E-2</v>
      </c>
      <c r="M24" s="32">
        <f>STDEV($F$21:F24)*(12^0.5)</f>
        <v>4.1144607291169366E-2</v>
      </c>
      <c r="N24" s="43">
        <v>0</v>
      </c>
      <c r="O24" s="33">
        <f t="shared" si="3"/>
        <v>100.00116573661097</v>
      </c>
      <c r="P24" s="32">
        <f t="shared" si="7"/>
        <v>1.0000116573661098</v>
      </c>
      <c r="Q24" s="33">
        <f>COUNT($B$20:B24)/12</f>
        <v>0.41666666666666669</v>
      </c>
      <c r="R24" s="32">
        <f t="shared" si="8"/>
        <v>2.7977906966070165E-5</v>
      </c>
      <c r="S24" s="44">
        <f t="shared" si="9"/>
        <v>1.5576884475981401</v>
      </c>
    </row>
    <row r="25" spans="2:19">
      <c r="B25" s="29">
        <v>42185</v>
      </c>
      <c r="C25" s="30">
        <f>+C24</f>
        <v>12274802.99</v>
      </c>
      <c r="D25" s="31">
        <v>12827308.67</v>
      </c>
      <c r="E25" s="31">
        <v>88305.31</v>
      </c>
      <c r="F25" s="32">
        <v>9.5589130000000005E-3</v>
      </c>
      <c r="G25" s="46">
        <f t="shared" si="0"/>
        <v>1.009558913</v>
      </c>
      <c r="H25" s="51">
        <f>+G25*G24*G23*G22*G21</f>
        <v>1.0303981830027611</v>
      </c>
      <c r="I25" s="34">
        <f t="shared" si="1"/>
        <v>1030.398183002761</v>
      </c>
      <c r="J25" s="59">
        <v>0</v>
      </c>
      <c r="K25" s="40">
        <f t="shared" si="6"/>
        <v>3.0398183002761092E-2</v>
      </c>
      <c r="L25" s="41">
        <f t="shared" si="2"/>
        <v>7.5587397085312702E-2</v>
      </c>
      <c r="M25" s="32">
        <f>STDEV($F$21:F25)*(12^0.5)</f>
        <v>3.6274137563183054E-2</v>
      </c>
      <c r="N25" s="43">
        <v>-1E-4</v>
      </c>
      <c r="O25" s="33">
        <f t="shared" si="3"/>
        <v>100.00034380922135</v>
      </c>
      <c r="P25" s="32">
        <f t="shared" si="7"/>
        <v>1.0000034380922136</v>
      </c>
      <c r="Q25" s="33">
        <f>COUNT($B$20:B25)/12</f>
        <v>0.5</v>
      </c>
      <c r="R25" s="32">
        <f t="shared" si="8"/>
        <v>6.8761962477292826E-6</v>
      </c>
      <c r="S25" s="44">
        <f t="shared" si="9"/>
        <v>2.0835924977518001</v>
      </c>
    </row>
    <row r="26" spans="2:19">
      <c r="B26" s="29">
        <v>42216</v>
      </c>
      <c r="C26" s="30">
        <f>+C25</f>
        <v>12274802.99</v>
      </c>
      <c r="D26" s="31">
        <v>12909598.289999999</v>
      </c>
      <c r="E26" s="31">
        <v>0</v>
      </c>
      <c r="F26" s="32">
        <v>6.4000000000000003E-3</v>
      </c>
      <c r="G26" s="46">
        <f t="shared" si="0"/>
        <v>1.0064</v>
      </c>
      <c r="H26" s="51">
        <f>+G26*G25*G24*G23*G22*G21</f>
        <v>1.0369927313739786</v>
      </c>
      <c r="I26" s="34">
        <f t="shared" si="1"/>
        <v>1036.9927313739786</v>
      </c>
      <c r="J26" s="59">
        <v>0</v>
      </c>
      <c r="K26" s="40">
        <f t="shared" si="6"/>
        <v>3.6992731373978627E-2</v>
      </c>
      <c r="L26" s="41">
        <f t="shared" si="2"/>
        <v>7.6001558734726249E-2</v>
      </c>
      <c r="M26" s="32">
        <f>STDEV($F$21:F26)*(12^0.5)</f>
        <v>3.2448335887178638E-2</v>
      </c>
      <c r="N26" s="43">
        <v>2.0000000000000001E-4</v>
      </c>
      <c r="O26" s="33">
        <f t="shared" si="3"/>
        <v>100.00204244519838</v>
      </c>
      <c r="P26" s="32">
        <f t="shared" si="7"/>
        <v>1.0000204244519839</v>
      </c>
      <c r="Q26" s="33">
        <f>COUNT($B$20:B26)/12</f>
        <v>0.58333333333333337</v>
      </c>
      <c r="R26" s="32">
        <f t="shared" si="8"/>
        <v>3.5013601660693894E-5</v>
      </c>
      <c r="S26" s="44">
        <f t="shared" si="9"/>
        <v>2.3411538082321917</v>
      </c>
    </row>
    <row r="27" spans="2:19">
      <c r="B27" s="29">
        <v>42247</v>
      </c>
      <c r="C27" s="30">
        <f>+C26+556707</f>
        <v>12831509.99</v>
      </c>
      <c r="D27" s="31">
        <v>13501682.449999999</v>
      </c>
      <c r="E27" s="31">
        <v>70068.34</v>
      </c>
      <c r="F27" s="32">
        <v>7.8712499999999998E-3</v>
      </c>
      <c r="G27" s="46">
        <f t="shared" ref="G27:G31" si="10">+F27+1</f>
        <v>1.00787125</v>
      </c>
      <c r="H27" s="51">
        <f>+G27*G26*G25*G24*G23*G22*G21</f>
        <v>1.045155160410806</v>
      </c>
      <c r="I27" s="34">
        <f t="shared" si="1"/>
        <v>1045.155160410806</v>
      </c>
      <c r="J27" s="59">
        <v>0</v>
      </c>
      <c r="K27" s="40">
        <f t="shared" si="6"/>
        <v>4.5155160410806028E-2</v>
      </c>
      <c r="L27" s="41">
        <f t="shared" si="2"/>
        <v>7.9005091916104719E-2</v>
      </c>
      <c r="M27" s="32">
        <f>STDEV($F$21:F27)*(12^0.5)</f>
        <v>2.9710881436704122E-2</v>
      </c>
      <c r="N27" s="43">
        <v>0</v>
      </c>
      <c r="O27" s="33">
        <f t="shared" si="3"/>
        <v>100.00204244519838</v>
      </c>
      <c r="P27" s="32">
        <f t="shared" si="7"/>
        <v>1.0000204244519839</v>
      </c>
      <c r="Q27" s="33">
        <f>COUNT($B$20:B27)/12</f>
        <v>0.66666666666666663</v>
      </c>
      <c r="R27" s="32">
        <f t="shared" si="8"/>
        <v>3.063683440962528E-5</v>
      </c>
      <c r="S27" s="44">
        <f t="shared" si="9"/>
        <v>2.6580986918863982</v>
      </c>
    </row>
    <row r="28" spans="2:19">
      <c r="B28" s="29">
        <v>42277</v>
      </c>
      <c r="C28" s="30">
        <f>+C27</f>
        <v>12831509.99</v>
      </c>
      <c r="D28" s="31">
        <v>13773973.279999999</v>
      </c>
      <c r="E28" s="31">
        <v>0</v>
      </c>
      <c r="F28" s="32">
        <v>2.0167178000000001E-2</v>
      </c>
      <c r="G28" s="46">
        <f t="shared" si="10"/>
        <v>1.0201671779999999</v>
      </c>
      <c r="H28" s="51">
        <f>+G28*G27*G26*G25*G24*G23*G22*G21</f>
        <v>1.0662329905684291</v>
      </c>
      <c r="I28" s="34">
        <f t="shared" si="1"/>
        <v>1066.2329905684292</v>
      </c>
      <c r="J28" s="59">
        <v>0</v>
      </c>
      <c r="K28" s="40">
        <f t="shared" si="6"/>
        <v>6.6232990568429129E-2</v>
      </c>
      <c r="L28" s="41">
        <f t="shared" si="2"/>
        <v>0.10156050579542741</v>
      </c>
      <c r="M28" s="32">
        <f>STDEV($F$21:F28)*(12^0.5)</f>
        <v>3.2288715817106621E-2</v>
      </c>
      <c r="N28" s="43">
        <v>-2.0000000000000001E-4</v>
      </c>
      <c r="O28" s="33">
        <f t="shared" si="3"/>
        <v>100.0003985760075</v>
      </c>
      <c r="P28" s="32">
        <f t="shared" ref="P28" si="11">+O28/100</f>
        <v>1.0000039857600749</v>
      </c>
      <c r="Q28" s="33">
        <f>COUNT($B$20:B28)/12</f>
        <v>0.75</v>
      </c>
      <c r="R28" s="32">
        <f t="shared" ref="R28" si="12">-1+(P28^(1/Q28))</f>
        <v>5.314350296714565E-6</v>
      </c>
      <c r="S28" s="44">
        <f t="shared" ref="S28" si="13">+(L28-R28)/M28</f>
        <v>3.1452223749117509</v>
      </c>
    </row>
    <row r="29" spans="2:19">
      <c r="B29" s="29">
        <v>42308</v>
      </c>
      <c r="C29" s="30">
        <f>+C28</f>
        <v>12831509.99</v>
      </c>
      <c r="D29" s="31">
        <v>13756887.449999999</v>
      </c>
      <c r="E29" s="31">
        <v>124395.31</v>
      </c>
      <c r="F29" s="32">
        <v>7.8617400000000007E-3</v>
      </c>
      <c r="G29" s="46">
        <f t="shared" si="10"/>
        <v>1.0078617400000001</v>
      </c>
      <c r="H29" s="51">
        <f>+G29*G28*G27*G26*G25*G24*G23*G22*G21</f>
        <v>1.074615437119701</v>
      </c>
      <c r="I29" s="34">
        <f t="shared" si="1"/>
        <v>1074.615437119701</v>
      </c>
      <c r="J29" s="59">
        <v>0</v>
      </c>
      <c r="K29" s="40">
        <f t="shared" si="6"/>
        <v>7.4615437119700978E-2</v>
      </c>
      <c r="L29" s="41">
        <f t="shared" si="2"/>
        <v>0.10099474683073395</v>
      </c>
      <c r="M29" s="32">
        <f>STDEV($F$21:F29)*(12^0.5)</f>
        <v>3.0204442785488964E-2</v>
      </c>
      <c r="N29" s="43">
        <v>0</v>
      </c>
      <c r="O29" s="33">
        <f t="shared" si="3"/>
        <v>100.0003985760075</v>
      </c>
      <c r="P29" s="32">
        <f t="shared" ref="P29" si="14">+O29/100</f>
        <v>1.0000039857600749</v>
      </c>
      <c r="Q29" s="33">
        <f>COUNT($B$20:B29)/12</f>
        <v>0.83333333333333337</v>
      </c>
      <c r="R29" s="32">
        <f t="shared" ref="R29" si="15">-1+(P29^(1/Q29))</f>
        <v>4.7829139961930167E-6</v>
      </c>
      <c r="S29" s="44">
        <f t="shared" ref="S29" si="16">+(L29-R29)/M29</f>
        <v>3.3435466641104892</v>
      </c>
    </row>
    <row r="30" spans="2:19">
      <c r="B30" s="29">
        <v>42338</v>
      </c>
      <c r="C30" s="30">
        <f>+C29+748675.42</f>
        <v>13580185.41</v>
      </c>
      <c r="D30" s="31">
        <v>14522798.34</v>
      </c>
      <c r="E30" s="31">
        <v>0</v>
      </c>
      <c r="F30" s="32">
        <v>1.188197E-3</v>
      </c>
      <c r="G30" s="46">
        <f t="shared" si="10"/>
        <v>1.0011881970000001</v>
      </c>
      <c r="H30" s="51">
        <f>+G30*G29*G28*G27*G26*G25*G24*G23*G22*G21</f>
        <v>1.0758922919582401</v>
      </c>
      <c r="I30" s="34">
        <f t="shared" si="1"/>
        <v>1075.8922919582401</v>
      </c>
      <c r="J30" s="59">
        <v>0</v>
      </c>
      <c r="K30" s="40">
        <f t="shared" ref="K30" si="17">+H30-1</f>
        <v>7.5892291958240099E-2</v>
      </c>
      <c r="L30" s="41">
        <f t="shared" ref="L30" si="18">+(1+K30)^(365/(B30-$B$20))-1</f>
        <v>9.2117438580025413E-2</v>
      </c>
      <c r="M30" s="32">
        <f>STDEV($F$21:F30)*(12^0.5)</f>
        <v>2.9455586771535518E-2</v>
      </c>
      <c r="N30" s="43">
        <v>9.1500000000000001E-4</v>
      </c>
      <c r="O30" s="33">
        <f t="shared" ref="O30" si="19">+O29*(1+(N30*(B30-B29)/365))</f>
        <v>100.00791915392779</v>
      </c>
      <c r="P30" s="32">
        <f t="shared" ref="P30" si="20">+O30/100</f>
        <v>1.0000791915392779</v>
      </c>
      <c r="Q30" s="33">
        <f>COUNT($B$20:B30)/12</f>
        <v>0.91666666666666663</v>
      </c>
      <c r="R30" s="32">
        <f t="shared" ref="R30" si="21">-1+(P30^(1/Q30))</f>
        <v>8.6391081087544563E-5</v>
      </c>
      <c r="S30" s="44">
        <f t="shared" ref="S30" si="22">+(L30-R30)/M30</f>
        <v>3.1244004138417742</v>
      </c>
    </row>
    <row r="31" spans="2:19">
      <c r="B31" s="29">
        <v>42369</v>
      </c>
      <c r="C31" s="30">
        <f>+C30+3573485.37</f>
        <v>17153670.780000001</v>
      </c>
      <c r="D31" s="31">
        <v>18275729.940000001</v>
      </c>
      <c r="E31" s="31">
        <v>0</v>
      </c>
      <c r="F31" s="32">
        <v>-7.4900000000000005E-5</v>
      </c>
      <c r="G31" s="46">
        <f t="shared" si="10"/>
        <v>0.99992510000000001</v>
      </c>
      <c r="H31" s="51">
        <f>+G31*G30*G29*G28*G27*G26*G25*G24*G23*G22*G21</f>
        <v>1.0758117076255724</v>
      </c>
      <c r="I31" s="34">
        <f t="shared" ref="I31" si="23">H31*1000</f>
        <v>1075.8117076255724</v>
      </c>
      <c r="J31" s="59">
        <v>0</v>
      </c>
      <c r="K31" s="40">
        <f t="shared" ref="K31" si="24">+H31-1</f>
        <v>7.5811707625572433E-2</v>
      </c>
      <c r="L31" s="41">
        <f t="shared" ref="L31" si="25">+(1+K31)^(365/(B31-$B$20))-1</f>
        <v>8.3133149785919125E-2</v>
      </c>
      <c r="M31" s="32">
        <f>STDEV($F$21:F31)*(12^0.5)</f>
        <v>2.9006922571489228E-2</v>
      </c>
      <c r="N31" s="43">
        <v>1.2199999999999999E-3</v>
      </c>
      <c r="O31" s="33">
        <f t="shared" ref="O31" si="26">+O30*(1+(N31*(B31-B30)/365))</f>
        <v>100.01828161831793</v>
      </c>
      <c r="P31" s="32">
        <f t="shared" ref="P31" si="27">+O31/100</f>
        <v>1.0001828161831794</v>
      </c>
      <c r="Q31" s="33">
        <f>COUNT($B$20:B31)/12</f>
        <v>1</v>
      </c>
      <c r="R31" s="32">
        <f t="shared" ref="R31" si="28">-1+(P31^(1/Q31))</f>
        <v>1.8281618317939063E-4</v>
      </c>
      <c r="S31" s="44">
        <f t="shared" ref="S31" si="29">+(L31-R31)/M31</f>
        <v>2.8596737002453074</v>
      </c>
    </row>
    <row r="32" spans="2:19">
      <c r="B32" s="29">
        <v>42400</v>
      </c>
      <c r="C32" s="30">
        <f>+C31</f>
        <v>17153670.780000001</v>
      </c>
      <c r="D32" s="31">
        <v>18041999.129999999</v>
      </c>
      <c r="E32" s="31">
        <v>147815.41</v>
      </c>
      <c r="F32" s="32">
        <v>5.287E-3</v>
      </c>
      <c r="G32" s="46">
        <f t="shared" ref="G32:G38" si="30">+F32+1</f>
        <v>1.005287</v>
      </c>
      <c r="H32" s="51">
        <f>+G32*G31*G30*G29*G28*G27*G26*G25*G24*G23*G22*G21</f>
        <v>1.0814995241237895</v>
      </c>
      <c r="I32" s="34">
        <f t="shared" ref="I32" si="31">H32*1000</f>
        <v>1081.4995241237896</v>
      </c>
      <c r="J32" s="59">
        <v>0</v>
      </c>
      <c r="K32" s="40">
        <f t="shared" ref="K32:K37" si="32">+H32-1</f>
        <v>8.1499524123789469E-2</v>
      </c>
      <c r="L32" s="41">
        <f t="shared" ref="L32:L37" si="33">+(1+K32)^(365/(B32-$B$20))-1</f>
        <v>8.1499524123789469E-2</v>
      </c>
      <c r="M32" s="32">
        <f>STDEV($F$21:F32)*(12^0.5)</f>
        <v>2.7692933472839344E-2</v>
      </c>
      <c r="N32" s="43">
        <v>2.186E-3</v>
      </c>
      <c r="O32" s="33">
        <f t="shared" ref="O32" si="34">+O31*(1+(N32*(B32-B31)/365))</f>
        <v>100.03685103988546</v>
      </c>
      <c r="P32" s="32">
        <f t="shared" ref="P32" si="35">+O32/100</f>
        <v>1.0003685103988547</v>
      </c>
      <c r="Q32" s="33">
        <f>COUNT($B$20:B32)/12</f>
        <v>1.0833333333333333</v>
      </c>
      <c r="R32" s="32">
        <f t="shared" ref="R32" si="36">-1+(P32^(1/Q32))</f>
        <v>3.4015862443559364E-4</v>
      </c>
      <c r="S32" s="44">
        <f t="shared" ref="S32" si="37">+(L32-R32)/M32</f>
        <v>2.9306886386360369</v>
      </c>
    </row>
    <row r="33" spans="2:19">
      <c r="B33" s="29">
        <v>42429</v>
      </c>
      <c r="C33" s="30">
        <f>+C32+509099.29</f>
        <v>17662770.07</v>
      </c>
      <c r="D33" s="31">
        <v>18568924.850000001</v>
      </c>
      <c r="E33" s="31">
        <v>0</v>
      </c>
      <c r="F33" s="32">
        <v>9.6100000000000005E-4</v>
      </c>
      <c r="G33" s="46">
        <f t="shared" si="30"/>
        <v>1.000961</v>
      </c>
      <c r="H33" s="51">
        <f>+G33*G32*G31*G30*G29*G28*G27*G26*G25*G24*G23*G22*G21</f>
        <v>1.0825388451664719</v>
      </c>
      <c r="I33" s="34">
        <f t="shared" ref="I33" si="38">H33*1000</f>
        <v>1082.5388451664719</v>
      </c>
      <c r="J33" s="59">
        <v>0</v>
      </c>
      <c r="K33" s="40">
        <f t="shared" si="32"/>
        <v>8.2538845166471919E-2</v>
      </c>
      <c r="L33" s="41">
        <f t="shared" si="33"/>
        <v>7.6237966435323656E-2</v>
      </c>
      <c r="M33" s="32">
        <f>STDEV($F$21:F33)*(12^0.5)</f>
        <v>2.7057891242192114E-2</v>
      </c>
      <c r="N33" s="43">
        <v>2.186E-3</v>
      </c>
      <c r="O33" s="33">
        <f t="shared" ref="O33" si="39">+O32*(1+(N33*(B33-B32)/365))</f>
        <v>100.05422565943292</v>
      </c>
      <c r="P33" s="32">
        <f t="shared" ref="P33" si="40">+O33/100</f>
        <v>1.0005422565943292</v>
      </c>
      <c r="Q33" s="33">
        <f>COUNT($B$20:B33)/12</f>
        <v>1.1666666666666667</v>
      </c>
      <c r="R33" s="32">
        <f t="shared" ref="R33" si="41">-1+(P33^(1/Q33))</f>
        <v>4.6477336770101019E-4</v>
      </c>
      <c r="S33" s="44">
        <f t="shared" ref="S33" si="42">+(L33-R33)/M33</f>
        <v>2.80041014243813</v>
      </c>
    </row>
    <row r="34" spans="2:19">
      <c r="B34" s="29">
        <v>42460</v>
      </c>
      <c r="C34" s="30">
        <f t="shared" ref="C34:C42" si="43">+C33</f>
        <v>17662770.07</v>
      </c>
      <c r="D34" s="31">
        <v>18858736.960000001</v>
      </c>
      <c r="E34" s="31">
        <v>0</v>
      </c>
      <c r="F34" s="32">
        <v>1.5607371E-2</v>
      </c>
      <c r="G34" s="46">
        <f t="shared" si="30"/>
        <v>1.015607371</v>
      </c>
      <c r="H34" s="51">
        <f>+G34*G33*G32*G31*G30*G29*G28*G27*G26*G25*G24*G23*G22*G21</f>
        <v>1.0994344305448962</v>
      </c>
      <c r="I34" s="34">
        <f t="shared" ref="I34:I39" si="44">H34*1000</f>
        <v>1099.4344305448963</v>
      </c>
      <c r="J34" s="59">
        <v>0</v>
      </c>
      <c r="K34" s="40">
        <f t="shared" si="32"/>
        <v>9.9434430544896202E-2</v>
      </c>
      <c r="L34" s="41">
        <f t="shared" si="33"/>
        <v>8.4818773334440545E-2</v>
      </c>
      <c r="M34" s="32">
        <f>STDEV($F$21:F34)*(12^0.5)</f>
        <v>2.7432100603272683E-2</v>
      </c>
      <c r="N34" s="43">
        <v>1.678E-3</v>
      </c>
      <c r="O34" s="33">
        <f t="shared" ref="O34" si="45">+O33*(1+(N34*(B34-B33)/365))</f>
        <v>100.06848489425579</v>
      </c>
      <c r="P34" s="32">
        <f t="shared" ref="P34" si="46">+O34/100</f>
        <v>1.0006848489425579</v>
      </c>
      <c r="Q34" s="33">
        <f>COUNT($B$20:B34)/12</f>
        <v>1.25</v>
      </c>
      <c r="R34" s="32">
        <f t="shared" ref="R34" si="47">-1+(P34^(1/Q34))</f>
        <v>5.4784164287524639E-4</v>
      </c>
      <c r="S34" s="44">
        <f t="shared" ref="S34" si="48">+(L34-R34)/M34</f>
        <v>3.0719824526128954</v>
      </c>
    </row>
    <row r="35" spans="2:19">
      <c r="B35" s="29">
        <v>42490</v>
      </c>
      <c r="C35" s="30">
        <f t="shared" si="43"/>
        <v>17662770.07</v>
      </c>
      <c r="D35" s="31">
        <v>18379038.91</v>
      </c>
      <c r="E35" s="31">
        <v>692044.84</v>
      </c>
      <c r="F35" s="32">
        <v>1.1688799999999999E-2</v>
      </c>
      <c r="G35" s="46">
        <f t="shared" si="30"/>
        <v>1.0116887999999999</v>
      </c>
      <c r="H35" s="51">
        <f>+G35*G34*G33*G32*G31*G30*G29*G28*G27*G26*G25*G24*G23*G22*G21</f>
        <v>1.1122854997166498</v>
      </c>
      <c r="I35" s="34">
        <f t="shared" si="44"/>
        <v>1112.2854997166498</v>
      </c>
      <c r="J35" s="59">
        <v>0</v>
      </c>
      <c r="K35" s="40">
        <f t="shared" si="32"/>
        <v>0.11228549971664981</v>
      </c>
      <c r="L35" s="41">
        <f t="shared" si="33"/>
        <v>8.9117144739350618E-2</v>
      </c>
      <c r="M35" s="32">
        <f>STDEV($F$21:F35)*(12^0.5)</f>
        <v>2.6790098868771192E-2</v>
      </c>
      <c r="N35" s="43">
        <v>1.5250000000000001E-3</v>
      </c>
      <c r="O35" s="33">
        <f t="shared" ref="O35" si="49">+O34*(1+(N35*(B35-B34)/365))</f>
        <v>100.08102772489664</v>
      </c>
      <c r="P35" s="32">
        <f t="shared" ref="P35" si="50">+O35/100</f>
        <v>1.0008102772489664</v>
      </c>
      <c r="Q35" s="33">
        <f>COUNT($B$20:B35)/12</f>
        <v>1.3333333333333333</v>
      </c>
      <c r="R35" s="32">
        <f t="shared" ref="R35" si="51">-1+(P35^(1/Q35))</f>
        <v>6.0764640600674547E-4</v>
      </c>
      <c r="S35" s="44">
        <f t="shared" ref="S35" si="52">+(L35-R35)/M35</f>
        <v>3.3038137995271843</v>
      </c>
    </row>
    <row r="36" spans="2:19">
      <c r="B36" s="29">
        <v>42521</v>
      </c>
      <c r="C36" s="30">
        <f t="shared" si="43"/>
        <v>17662770.07</v>
      </c>
      <c r="D36" s="31">
        <v>19066715.800000001</v>
      </c>
      <c r="E36" s="31">
        <v>0</v>
      </c>
      <c r="F36" s="32">
        <v>3.7416400000000002E-2</v>
      </c>
      <c r="G36" s="46">
        <f t="shared" si="30"/>
        <v>1.0374163999999999</v>
      </c>
      <c r="H36" s="51">
        <f>+G36*G35*G34*G33*G32*G31*G30*G29*G28*G27*G26*G25*G24*G23*G22*G21</f>
        <v>1.1539032188882479</v>
      </c>
      <c r="I36" s="34">
        <f t="shared" si="44"/>
        <v>1153.9032188882479</v>
      </c>
      <c r="J36" s="59">
        <v>0</v>
      </c>
      <c r="K36" s="40">
        <f t="shared" si="32"/>
        <v>0.15390321888824787</v>
      </c>
      <c r="L36" s="41">
        <f t="shared" si="33"/>
        <v>0.11350199355131219</v>
      </c>
      <c r="M36" s="32">
        <f>STDEV($F$21:F36)*(12^0.5)</f>
        <v>3.6837770757820208E-2</v>
      </c>
      <c r="N36" s="43">
        <v>1.7799999999999999E-3</v>
      </c>
      <c r="O36" s="33">
        <f t="shared" ref="O36" si="53">+O35*(1+(N36*(B36-B35)/365))</f>
        <v>100.09615778273186</v>
      </c>
      <c r="P36" s="32">
        <f t="shared" ref="P36" si="54">+O36/100</f>
        <v>1.0009615778273186</v>
      </c>
      <c r="Q36" s="33">
        <f>COUNT($B$20:B36)/12</f>
        <v>1.4166666666666667</v>
      </c>
      <c r="R36" s="32">
        <f t="shared" ref="R36" si="55">-1+(P36^(1/Q36))</f>
        <v>6.7866487652312735E-4</v>
      </c>
      <c r="S36" s="44">
        <f t="shared" ref="S36" si="56">+(L36-R36)/M36</f>
        <v>3.0627078228081444</v>
      </c>
    </row>
    <row r="37" spans="2:19">
      <c r="B37" s="29">
        <v>42551</v>
      </c>
      <c r="C37" s="30">
        <f t="shared" si="43"/>
        <v>17662770.07</v>
      </c>
      <c r="D37" s="31">
        <v>19457732.760000002</v>
      </c>
      <c r="E37" s="31">
        <v>0</v>
      </c>
      <c r="F37" s="32">
        <v>4.1331579999999996E-3</v>
      </c>
      <c r="G37" s="46">
        <f t="shared" si="30"/>
        <v>1.0041331579999999</v>
      </c>
      <c r="H37" s="51">
        <f>+G37*G36*G35*G34*G33*G32*G31*G30*G29*G28*G27*G26*G25*G24*G23*G22*G21</f>
        <v>1.1586724832086215</v>
      </c>
      <c r="I37" s="34">
        <f t="shared" si="44"/>
        <v>1158.6724832086215</v>
      </c>
      <c r="J37" s="59">
        <v>0</v>
      </c>
      <c r="K37" s="40">
        <f t="shared" si="32"/>
        <v>0.15867248320862148</v>
      </c>
      <c r="L37" s="41">
        <f t="shared" si="33"/>
        <v>0.10979691598067554</v>
      </c>
      <c r="M37" s="32">
        <f>STDEV($F$21:F37)*(12^0.5)</f>
        <v>3.5905398852578325E-2</v>
      </c>
      <c r="N37" s="43">
        <v>1.6800000000000001E-3</v>
      </c>
      <c r="O37" s="33">
        <f t="shared" ref="O37" si="57">+O36*(1+(N37*(B37-B36)/365))</f>
        <v>100.10997927958735</v>
      </c>
      <c r="P37" s="32">
        <f t="shared" ref="P37" si="58">+O37/100</f>
        <v>1.0010997927958736</v>
      </c>
      <c r="Q37" s="33">
        <f>COUNT($B$20:B37)/12</f>
        <v>1.5</v>
      </c>
      <c r="R37" s="32">
        <f t="shared" ref="R37" si="59">-1+(P37^(1/Q37))</f>
        <v>7.3306086909896706E-4</v>
      </c>
      <c r="S37" s="44">
        <f t="shared" ref="S37" si="60">+(L37-R37)/M37</f>
        <v>3.0375335909614836</v>
      </c>
    </row>
    <row r="38" spans="2:19">
      <c r="B38" s="29">
        <v>42582</v>
      </c>
      <c r="C38" s="30">
        <f t="shared" si="43"/>
        <v>17662770.07</v>
      </c>
      <c r="D38" s="31">
        <v>18680199.829999998</v>
      </c>
      <c r="E38" s="31">
        <v>620440.76</v>
      </c>
      <c r="F38" s="32">
        <v>8.3735000000000007E-3</v>
      </c>
      <c r="G38" s="46">
        <f t="shared" si="30"/>
        <v>1.0083735</v>
      </c>
      <c r="H38" s="51">
        <f>+G38*G37*G36*G35*G34*G33*G32*G31*G30*G29*G28*G27*G26*G25*G24*G23*G22*G21</f>
        <v>1.168374627246769</v>
      </c>
      <c r="I38" s="34">
        <f t="shared" si="44"/>
        <v>1168.374627246769</v>
      </c>
      <c r="J38" s="59">
        <v>0</v>
      </c>
      <c r="K38" s="40">
        <f t="shared" ref="K38" si="61">+H38-1</f>
        <v>0.16837462724676899</v>
      </c>
      <c r="L38" s="41">
        <f t="shared" ref="L38" si="62">+(1+K38)^(365/(B38-$B$20))-1</f>
        <v>0.1094198401565929</v>
      </c>
      <c r="M38" s="32">
        <f>STDEV($F$21:F38)*(12^0.5)</f>
        <v>3.4834714346814163E-2</v>
      </c>
      <c r="N38" s="43">
        <v>1.7799999999999999E-3</v>
      </c>
      <c r="O38" s="33">
        <f t="shared" ref="O38" si="63">+O37*(1+(N38*(B38-B37)/365))</f>
        <v>100.12511371426308</v>
      </c>
      <c r="P38" s="32">
        <f t="shared" ref="P38" si="64">+O38/100</f>
        <v>1.0012511371426307</v>
      </c>
      <c r="Q38" s="33">
        <f>COUNT($B$20:B38)/12</f>
        <v>1.5833333333333333</v>
      </c>
      <c r="R38" s="32">
        <f t="shared" ref="R38" si="65">-1+(P38^(1/Q38))</f>
        <v>7.9000986581090338E-4</v>
      </c>
      <c r="S38" s="44">
        <f t="shared" ref="S38" si="66">+(L38-R38)/M38</f>
        <v>3.1184360867513994</v>
      </c>
    </row>
    <row r="39" spans="2:19">
      <c r="B39" s="29">
        <v>42613</v>
      </c>
      <c r="C39" s="30">
        <f t="shared" si="43"/>
        <v>17662770.07</v>
      </c>
      <c r="D39" s="31">
        <v>18693315.68</v>
      </c>
      <c r="E39" s="31">
        <v>80626.58</v>
      </c>
      <c r="F39" s="32">
        <v>5.04003E-3</v>
      </c>
      <c r="G39" s="46">
        <f t="shared" ref="G39:G44" si="67">+F39+1</f>
        <v>1.00504003</v>
      </c>
      <c r="H39" s="51">
        <f>+G39*G38*G37*G36*G35*G34*G33*G32*G31*G30*G29*G28*G27*G26*G25*G24*G23*G22*G21</f>
        <v>1.174263270419331</v>
      </c>
      <c r="I39" s="34">
        <f t="shared" si="44"/>
        <v>1174.2632704193311</v>
      </c>
      <c r="J39" s="59">
        <v>0</v>
      </c>
      <c r="K39" s="40">
        <f t="shared" ref="K39" si="68">+H39-1</f>
        <v>0.17426327041933098</v>
      </c>
      <c r="L39" s="41">
        <f t="shared" ref="L39" si="69">+(1+K39)^(365/(B39-$B$20))-1</f>
        <v>0.10676662345720134</v>
      </c>
      <c r="M39" s="32">
        <f>STDEV($F$21:F39)*(12^0.5)</f>
        <v>3.3980008730402619E-2</v>
      </c>
      <c r="N39" s="43">
        <v>2.6870000000000002E-3</v>
      </c>
      <c r="O39" s="33">
        <f t="shared" ref="O39" si="70">+O38*(1+(N39*(B39-B38)/365))</f>
        <v>100.14796336247419</v>
      </c>
      <c r="P39" s="32">
        <f t="shared" ref="P39" si="71">+O39/100</f>
        <v>1.0014796336247418</v>
      </c>
      <c r="Q39" s="33">
        <f>COUNT($B$20:B39)/12</f>
        <v>1.6666666666666667</v>
      </c>
      <c r="R39" s="32">
        <f t="shared" ref="R39" si="72">-1+(P39^(1/Q39))</f>
        <v>8.8751763821015572E-4</v>
      </c>
      <c r="S39" s="44">
        <f t="shared" ref="S39:S44" si="73">+(L39-R39)/M39</f>
        <v>3.1159234436646552</v>
      </c>
    </row>
    <row r="40" spans="2:19">
      <c r="B40" s="29">
        <v>42643</v>
      </c>
      <c r="C40" s="30">
        <f t="shared" si="43"/>
        <v>17662770.07</v>
      </c>
      <c r="D40" s="31">
        <v>18786387</v>
      </c>
      <c r="E40" s="31">
        <v>0</v>
      </c>
      <c r="F40" s="32">
        <v>4.9788999999999996E-3</v>
      </c>
      <c r="G40" s="46">
        <f t="shared" si="67"/>
        <v>1.0049789</v>
      </c>
      <c r="H40" s="51">
        <f>+G40*G39*G38*G37*G36*G35*G34*G33*G32*G31*G30*G29*G28*G27*G26*G25*G24*G23*G22*G21</f>
        <v>1.1801098098164222</v>
      </c>
      <c r="I40" s="34">
        <f t="shared" ref="I40" si="74">H40*1000</f>
        <v>1180.1098098164223</v>
      </c>
      <c r="J40" s="59">
        <v>0</v>
      </c>
      <c r="K40" s="40">
        <f t="shared" ref="K40" si="75">+H40-1</f>
        <v>0.18010980981642222</v>
      </c>
      <c r="L40" s="41">
        <f t="shared" ref="L40" si="76">+(1+K40)^(365/(B40-$B$20))-1</f>
        <v>0.10452896949270252</v>
      </c>
      <c r="M40" s="32">
        <f>STDEV($F$21:F40)*(12^0.5)</f>
        <v>3.3188250418481002E-2</v>
      </c>
      <c r="N40" s="43">
        <v>1.825E-3</v>
      </c>
      <c r="O40" s="33">
        <f t="shared" ref="O40" si="77">+O39*(1+(N40*(B40-B39)/365))</f>
        <v>100.16298555697857</v>
      </c>
      <c r="P40" s="32">
        <f t="shared" ref="P40" si="78">+O40/100</f>
        <v>1.0016298555697858</v>
      </c>
      <c r="Q40" s="33">
        <f>COUNT($B$20:B40)/12</f>
        <v>1.75</v>
      </c>
      <c r="R40" s="32">
        <f t="shared" ref="R40" si="79">-1+(P40^(1/Q40))</f>
        <v>9.310210150403897E-4</v>
      </c>
      <c r="S40" s="44">
        <f t="shared" si="73"/>
        <v>3.1215248520594874</v>
      </c>
    </row>
    <row r="41" spans="2:19">
      <c r="B41" s="29">
        <v>42674</v>
      </c>
      <c r="C41" s="30">
        <f t="shared" si="43"/>
        <v>17662770.07</v>
      </c>
      <c r="D41" s="31">
        <v>18649943.239999998</v>
      </c>
      <c r="E41" s="31">
        <v>287952.08</v>
      </c>
      <c r="F41" s="32">
        <v>8.1902999999999993E-3</v>
      </c>
      <c r="G41" s="46">
        <f t="shared" si="67"/>
        <v>1.0081903000000001</v>
      </c>
      <c r="H41" s="51">
        <f>+G41*G40*G39*G38*G37*G36*G35*G34*G33*G32*G31*G30*G29*G28*G27*G26*G25*G24*G23*G22*G21</f>
        <v>1.1897752631917611</v>
      </c>
      <c r="I41" s="34">
        <f t="shared" ref="I41" si="80">H41*1000</f>
        <v>1189.775263191761</v>
      </c>
      <c r="J41" s="59">
        <v>0</v>
      </c>
      <c r="K41" s="40">
        <f t="shared" ref="K41:K46" si="81">+H41-1</f>
        <v>0.18977526319176108</v>
      </c>
      <c r="L41" s="41">
        <f t="shared" ref="L41:L46" si="82">+(1+K41)^(365/(B41-$B$20))-1</f>
        <v>0.10434799975665499</v>
      </c>
      <c r="M41" s="32">
        <f>STDEV($F$21:F41)*(12^0.5)</f>
        <v>3.2348152511998518E-2</v>
      </c>
      <c r="N41" s="43">
        <v>1.622E-3</v>
      </c>
      <c r="O41" s="33">
        <f t="shared" ref="O41" si="83">+O40*(1+(N41*(B41-B40)/365))</f>
        <v>100.17678390010124</v>
      </c>
      <c r="P41" s="32">
        <f t="shared" ref="P41" si="84">+O41/100</f>
        <v>1.0017678390010125</v>
      </c>
      <c r="Q41" s="33">
        <f>COUNT($B$20:B41)/12</f>
        <v>1.8333333333333333</v>
      </c>
      <c r="R41" s="32">
        <f t="shared" ref="R41" si="85">-1+(P41^(1/Q41))</f>
        <v>9.6388872217945121E-4</v>
      </c>
      <c r="S41" s="44">
        <f t="shared" si="73"/>
        <v>3.1959819342427203</v>
      </c>
    </row>
    <row r="42" spans="2:19">
      <c r="B42" s="29">
        <v>42704</v>
      </c>
      <c r="C42" s="30">
        <f t="shared" si="43"/>
        <v>17662770.07</v>
      </c>
      <c r="D42" s="31">
        <v>18567285.210000001</v>
      </c>
      <c r="E42" s="31">
        <v>126698.92</v>
      </c>
      <c r="F42" s="32">
        <v>2.3776000000000001E-3</v>
      </c>
      <c r="G42" s="46">
        <f t="shared" si="67"/>
        <v>1.0023776</v>
      </c>
      <c r="H42" s="51">
        <f>+G42*G41*G40*G39*G38*G37*G36*G35*G34*G33*G32*G31*G30*G29*G28*G27*G26*G25*G24*G23*G22*G21</f>
        <v>1.1926040728575265</v>
      </c>
      <c r="I42" s="34">
        <f t="shared" ref="I42" si="86">H42*1000</f>
        <v>1192.6040728575265</v>
      </c>
      <c r="J42" s="59">
        <v>0</v>
      </c>
      <c r="K42" s="40">
        <f t="shared" si="81"/>
        <v>0.19260407285752645</v>
      </c>
      <c r="L42" s="41">
        <f t="shared" si="82"/>
        <v>0.10086900170756241</v>
      </c>
      <c r="M42" s="32">
        <f>STDEV($F$21:F42)*(12^0.5)</f>
        <v>3.1875198860098562E-2</v>
      </c>
      <c r="N42" s="43">
        <v>3.5999999999999999E-3</v>
      </c>
      <c r="O42" s="33">
        <f t="shared" ref="O42" si="87">+O41*(1+(N42*(B42-B41)/365))</f>
        <v>100.20642524985799</v>
      </c>
      <c r="P42" s="32">
        <f t="shared" ref="P42" si="88">+O42/100</f>
        <v>1.0020642524985799</v>
      </c>
      <c r="Q42" s="33">
        <f>COUNT($B$20:B42)/12</f>
        <v>1.9166666666666667</v>
      </c>
      <c r="R42" s="32">
        <f t="shared" ref="R42" si="89">-1+(P42^(1/Q42))</f>
        <v>1.0764702082668443E-3</v>
      </c>
      <c r="S42" s="44">
        <f t="shared" si="73"/>
        <v>3.1307265544377847</v>
      </c>
    </row>
    <row r="43" spans="2:19">
      <c r="B43" s="29">
        <v>42735</v>
      </c>
      <c r="C43" s="30">
        <f>+C42+1323619.75</f>
        <v>18986389.82</v>
      </c>
      <c r="D43" s="31">
        <v>19973108.73</v>
      </c>
      <c r="E43" s="31">
        <v>38393.61</v>
      </c>
      <c r="F43" s="32">
        <v>6.0746999999999997E-3</v>
      </c>
      <c r="G43" s="46">
        <f t="shared" si="67"/>
        <v>1.0060747000000001</v>
      </c>
      <c r="H43" s="51">
        <f>+G43*G42*G41*G40*G39*G38*G37*G36*G35*G34*G33*G32*G31*G30*G29*G28*G27*G26*G25*G24*G23*G22*G21</f>
        <v>1.1998487848189139</v>
      </c>
      <c r="I43" s="34">
        <f t="shared" ref="I43" si="90">H43*1000</f>
        <v>1199.8487848189138</v>
      </c>
      <c r="J43" s="59">
        <v>0</v>
      </c>
      <c r="K43" s="40">
        <f t="shared" si="81"/>
        <v>0.19984878481891388</v>
      </c>
      <c r="L43" s="41">
        <f t="shared" si="82"/>
        <v>9.9661008439364762E-2</v>
      </c>
      <c r="M43" s="32">
        <f>STDEV($F$21:F43)*(12^0.5)</f>
        <v>3.1175944444369805E-2</v>
      </c>
      <c r="N43" s="43">
        <v>4.1580000000000002E-3</v>
      </c>
      <c r="O43" s="33">
        <f t="shared" ref="O43" si="91">+O42*(1+(N43*(B43-B42)/365))</f>
        <v>100.24181266849321</v>
      </c>
      <c r="P43" s="32">
        <f t="shared" ref="P43" si="92">+O43/100</f>
        <v>1.0024181266849321</v>
      </c>
      <c r="Q43" s="33">
        <f>COUNT($B$20:B43)/12</f>
        <v>2</v>
      </c>
      <c r="R43" s="32">
        <f t="shared" ref="R43" si="93">-1+(P43^(1/Q43))</f>
        <v>1.2083333077748115E-3</v>
      </c>
      <c r="S43" s="44">
        <f t="shared" si="73"/>
        <v>3.1579692896639715</v>
      </c>
    </row>
    <row r="44" spans="2:19">
      <c r="B44" s="29">
        <v>42766</v>
      </c>
      <c r="C44" s="30">
        <f>+C43</f>
        <v>18986389.82</v>
      </c>
      <c r="D44" s="31">
        <v>20171226.627999999</v>
      </c>
      <c r="E44" s="31">
        <v>0</v>
      </c>
      <c r="F44" s="32">
        <v>9.9191999999999995E-3</v>
      </c>
      <c r="G44" s="46">
        <f t="shared" si="67"/>
        <v>1.0099191999999999</v>
      </c>
      <c r="H44" s="51">
        <f>+G44*G43*G42*G41*G40*G39*G38*G37*G36*G35*G34*G33*G32*G31*G30*G29*G28*G27*G26*G25*G24*G23*G22*G21</f>
        <v>1.2117503248852899</v>
      </c>
      <c r="I44" s="34">
        <f t="shared" ref="I44" si="94">H44*1000</f>
        <v>1211.75032488529</v>
      </c>
      <c r="J44" s="32">
        <f>H44/$H$43-1</f>
        <v>9.9192000000001279E-3</v>
      </c>
      <c r="K44" s="40">
        <f t="shared" si="81"/>
        <v>0.21175032488528989</v>
      </c>
      <c r="L44" s="41">
        <f t="shared" si="82"/>
        <v>0.10065071052570462</v>
      </c>
      <c r="M44" s="32">
        <f>STDEV($F$21:F44)*(12^0.5)</f>
        <v>3.0521140746017295E-2</v>
      </c>
      <c r="N44" s="43">
        <v>4.614E-3</v>
      </c>
      <c r="O44" s="33">
        <f t="shared" ref="O44" si="95">+O43*(1+(N44*(B44-B43)/365))</f>
        <v>100.28109482584452</v>
      </c>
      <c r="P44" s="32">
        <f t="shared" ref="P44" si="96">+O44/100</f>
        <v>1.0028109482584453</v>
      </c>
      <c r="Q44" s="33">
        <f>COUNT($B$20:B44)/12</f>
        <v>2.0833333333333335</v>
      </c>
      <c r="R44" s="32">
        <f t="shared" ref="R44" si="97">-1+(P44^(1/Q44))</f>
        <v>1.3482704675087387E-3</v>
      </c>
      <c r="S44" s="44">
        <f t="shared" si="73"/>
        <v>3.2535625350488862</v>
      </c>
    </row>
    <row r="45" spans="2:19">
      <c r="B45" s="29">
        <v>42794</v>
      </c>
      <c r="C45" s="30">
        <f>+C44+1919681</f>
        <v>20906070.82</v>
      </c>
      <c r="D45" s="31">
        <v>21985943.25</v>
      </c>
      <c r="E45" s="31">
        <v>211164.86</v>
      </c>
      <c r="F45" s="32">
        <v>4.8529999999999997E-3</v>
      </c>
      <c r="G45" s="46">
        <f>+F45+1</f>
        <v>1.004853</v>
      </c>
      <c r="H45" s="51">
        <f>+G45*G44*G43*G42*G41*G40*G39*G38*G37*G36*G35*G34*G33*G32*G31*G30*G29*G28*G27*G26*G25*G24*G23*G22*G21</f>
        <v>1.2176309492119579</v>
      </c>
      <c r="I45" s="34">
        <f t="shared" ref="I45" si="98">H45*1000</f>
        <v>1217.6309492119578</v>
      </c>
      <c r="J45" s="32">
        <f>H45/$H$43-1</f>
        <v>1.4820337877599954E-2</v>
      </c>
      <c r="K45" s="40">
        <f t="shared" si="81"/>
        <v>0.21763094921195791</v>
      </c>
      <c r="L45" s="41">
        <f t="shared" si="82"/>
        <v>9.9320028399935589E-2</v>
      </c>
      <c r="M45" s="32">
        <f>STDEV($F$21:F45)*(12^0.5)</f>
        <v>2.9961607192266926E-2</v>
      </c>
      <c r="N45" s="43">
        <v>4.2589999999999998E-3</v>
      </c>
      <c r="O45" s="33">
        <f t="shared" ref="O45" si="99">+O44*(1+(N45*(B45-B44)/365))</f>
        <v>100.31385844535184</v>
      </c>
      <c r="P45" s="32">
        <f t="shared" ref="P45" si="100">+O45/100</f>
        <v>1.0031385844535183</v>
      </c>
      <c r="Q45" s="33">
        <f>COUNT($B$20:B45)/12</f>
        <v>2.1666666666666665</v>
      </c>
      <c r="R45" s="32">
        <f t="shared" ref="R45" si="101">-1+(P45^(1/Q45))</f>
        <v>1.4473553533038697E-3</v>
      </c>
      <c r="S45" s="44">
        <f t="shared" ref="S45" si="102">+(L45-R45)/M45</f>
        <v>3.2666029034614872</v>
      </c>
    </row>
    <row r="46" spans="2:19">
      <c r="B46" s="29">
        <v>42825</v>
      </c>
      <c r="C46" s="30">
        <f>+C45</f>
        <v>20906070.82</v>
      </c>
      <c r="D46" s="31">
        <v>21966334.390000001</v>
      </c>
      <c r="E46" s="31">
        <v>115180.83</v>
      </c>
      <c r="F46" s="32">
        <v>4.36485E-3</v>
      </c>
      <c r="G46" s="46">
        <f>+F46+1</f>
        <v>1.00436485</v>
      </c>
      <c r="H46" s="51">
        <f>+G46*G45*G44*G43*G42*G41*G40*G39*G38*G37*G36*G35*G34*G33*G32*G31*G30*G29*G28*G27*G26*G25*G24*G23*G22*G21</f>
        <v>1.2229457256606258</v>
      </c>
      <c r="I46" s="34">
        <f>H46*1000</f>
        <v>1222.9457256606258</v>
      </c>
      <c r="J46" s="32">
        <f>H46/$H$43-1</f>
        <v>1.9249876429384916E-2</v>
      </c>
      <c r="K46" s="40">
        <f t="shared" si="81"/>
        <v>0.22294572566062576</v>
      </c>
      <c r="L46" s="41">
        <f t="shared" si="82"/>
        <v>9.7448960824439768E-2</v>
      </c>
      <c r="M46" s="32">
        <f>STDEV($F$21:F46)*(12^0.5)</f>
        <v>2.9456717179880812E-2</v>
      </c>
      <c r="N46" s="43">
        <v>7.2529999999999999E-3</v>
      </c>
      <c r="O46" s="33">
        <f t="shared" ref="O46" si="103">+O45*(1+(N46*(B46-B45)/365))</f>
        <v>100.37565260665166</v>
      </c>
      <c r="P46" s="32">
        <f t="shared" ref="P46" si="104">+O46/100</f>
        <v>1.0037565260665167</v>
      </c>
      <c r="Q46" s="33">
        <f>COUNT($B$20:B46)/12</f>
        <v>2.25</v>
      </c>
      <c r="R46" s="32">
        <f t="shared" ref="R46" si="105">-1+(P46^(1/Q46))</f>
        <v>1.6678283669548932E-3</v>
      </c>
      <c r="S46" s="44">
        <f t="shared" ref="S46" si="106">+(L46-R46)/M46</f>
        <v>3.2515888268399507</v>
      </c>
    </row>
    <row r="47" spans="2:19">
      <c r="B47" s="29">
        <v>42855</v>
      </c>
      <c r="C47" s="30">
        <f>+C46+383936</f>
        <v>21290006.82</v>
      </c>
      <c r="D47" s="31">
        <v>22257681.5</v>
      </c>
      <c r="E47" s="31">
        <v>230361.67</v>
      </c>
      <c r="F47" s="32">
        <v>6.2284999999999997E-3</v>
      </c>
      <c r="G47" s="46">
        <f>+F47+1</f>
        <v>1.0062285</v>
      </c>
      <c r="H47" s="51">
        <f>+G47*G46*G45*G44*G43*G42*G41*G40*G39*G38*G37*G36*G35*G34*G33*G32*G31*G30*G29*G28*G27*G26*G25*G24*G23*G22*G21</f>
        <v>1.2305628431129028</v>
      </c>
      <c r="I47" s="34">
        <f>H47*1000</f>
        <v>1230.5628431129028</v>
      </c>
      <c r="J47" s="32">
        <f>H47/$H$43-1</f>
        <v>2.5598274284725386E-2</v>
      </c>
      <c r="K47" s="40">
        <f>+H47-1</f>
        <v>0.23056284311290276</v>
      </c>
      <c r="L47" s="41">
        <f t="shared" ref="L47" si="107">+(1+K47)^(365/(B47-$B$20))-1</f>
        <v>9.6748825808892214E-2</v>
      </c>
      <c r="M47" s="32">
        <f>STDEV($F$21:F47)*(12^0.5)</f>
        <v>2.8903804652244656E-2</v>
      </c>
      <c r="N47" s="43">
        <v>6.5929999999999999E-3</v>
      </c>
      <c r="O47" s="33">
        <f t="shared" ref="O47" si="108">+O46*(1+(N47*(B47-B46)/365))</f>
        <v>100.43004521029295</v>
      </c>
      <c r="P47" s="32">
        <f t="shared" ref="P47" si="109">+O47/100</f>
        <v>1.0043004521029295</v>
      </c>
      <c r="Q47" s="33">
        <f>COUNT($B$20:B47)/12</f>
        <v>2.3333333333333335</v>
      </c>
      <c r="R47" s="32">
        <f t="shared" ref="R47" si="110">-1+(P47^(1/Q47))</f>
        <v>1.8407914306293183E-3</v>
      </c>
      <c r="S47" s="44">
        <f t="shared" ref="S47" si="111">+(L47-R47)/M47</f>
        <v>3.2835827504422461</v>
      </c>
    </row>
    <row r="48" spans="2:19">
      <c r="B48" s="29">
        <v>42886</v>
      </c>
      <c r="C48" s="30">
        <f>+C47</f>
        <v>21290006.82</v>
      </c>
      <c r="D48" s="31">
        <v>22297285.93</v>
      </c>
      <c r="E48" s="31">
        <v>153574.45000000001</v>
      </c>
      <c r="F48" s="32">
        <v>8.7395000000000007E-3</v>
      </c>
      <c r="G48" s="46">
        <f>+F48+1</f>
        <v>1.0087394999999999</v>
      </c>
      <c r="H48" s="51">
        <f>+G48*G47*G46*G45*G44*G43*G42*G41*G40*G39*G38*G37*G36*G35*G34*G33*G32*G31*G30*G29*G28*G27*G26*G25*G24*G23*G22*G21</f>
        <v>1.2413173470802883</v>
      </c>
      <c r="I48" s="34">
        <f>H48*1000</f>
        <v>1241.3173470802883</v>
      </c>
      <c r="J48" s="32">
        <f>H48/$H$43-1</f>
        <v>3.4561490402836847E-2</v>
      </c>
      <c r="K48" s="40">
        <f>+H48-1</f>
        <v>0.24131734708028829</v>
      </c>
      <c r="L48" s="41">
        <f t="shared" ref="L48" si="112">+(1+K48)^(365/(B48-$B$20))-1</f>
        <v>9.7152548952441631E-2</v>
      </c>
      <c r="M48" s="32">
        <f>STDEV($F$21:F48)*(12^0.5)</f>
        <v>2.8370944447848927E-2</v>
      </c>
      <c r="N48" s="57">
        <v>8.5730000000000008E-3</v>
      </c>
      <c r="O48" s="33">
        <f t="shared" ref="O48" si="113">+O47*(1+(N48*(B48-B47)/365))</f>
        <v>100.50317011469082</v>
      </c>
      <c r="P48" s="32">
        <f t="shared" ref="P48" si="114">+O48/100</f>
        <v>1.0050317011469081</v>
      </c>
      <c r="Q48" s="33">
        <f>COUNT($B$20:B48)/12</f>
        <v>2.4166666666666665</v>
      </c>
      <c r="R48" s="32">
        <f t="shared" ref="R48" si="115">-1+(P48^(1/Q48))</f>
        <v>2.0790207010663586E-3</v>
      </c>
      <c r="S48" s="44">
        <f t="shared" ref="S48" si="116">+(L48-R48)/M48</f>
        <v>3.3510878859228006</v>
      </c>
    </row>
    <row r="49" spans="2:19" ht="9.75" customHeight="1">
      <c r="B49" s="29"/>
      <c r="C49" s="30"/>
      <c r="D49" s="31"/>
      <c r="E49" s="31"/>
      <c r="F49" s="32"/>
      <c r="G49" s="32"/>
      <c r="H49" s="32"/>
      <c r="I49" s="32"/>
      <c r="J49" s="32"/>
      <c r="K49" s="40"/>
      <c r="L49" s="41"/>
      <c r="M49" s="32"/>
      <c r="N49" s="32"/>
      <c r="O49" s="32"/>
      <c r="P49" s="32"/>
      <c r="Q49" s="32"/>
      <c r="R49" s="32"/>
      <c r="S49" s="40"/>
    </row>
    <row r="50" spans="2:19">
      <c r="B50" s="36" t="s">
        <v>13</v>
      </c>
      <c r="C50" s="37">
        <f>C48</f>
        <v>21290006.82</v>
      </c>
      <c r="D50" s="38">
        <f>D48</f>
        <v>22297285.93</v>
      </c>
      <c r="E50" s="38">
        <f>+SUM(E20:E48)</f>
        <v>2987022.9699999997</v>
      </c>
      <c r="F50" s="39">
        <f>F48</f>
        <v>8.7395000000000007E-3</v>
      </c>
      <c r="G50" s="39"/>
      <c r="H50" s="39"/>
      <c r="I50" s="58">
        <f>I48</f>
        <v>1241.3173470802883</v>
      </c>
      <c r="J50" s="39">
        <f>J48</f>
        <v>3.4561490402836847E-2</v>
      </c>
      <c r="K50" s="61">
        <f>K48</f>
        <v>0.24131734708028829</v>
      </c>
      <c r="L50" s="42">
        <f>L48</f>
        <v>9.7152548952441631E-2</v>
      </c>
      <c r="M50" s="39">
        <f>M48</f>
        <v>2.8370944447848927E-2</v>
      </c>
      <c r="N50" s="39"/>
      <c r="O50" s="39"/>
      <c r="P50" s="39"/>
      <c r="Q50" s="39"/>
      <c r="R50" s="39"/>
      <c r="S50" s="45">
        <f>S48</f>
        <v>3.3510878859228006</v>
      </c>
    </row>
    <row r="51" spans="2:19">
      <c r="B51" s="9"/>
      <c r="C51" s="2"/>
      <c r="D51" s="2"/>
      <c r="E51" s="8"/>
      <c r="F51" s="8"/>
      <c r="G51" s="8"/>
      <c r="H51" s="8"/>
      <c r="I51" s="8"/>
      <c r="J51" s="8"/>
      <c r="K51" s="8"/>
      <c r="L51" s="4"/>
      <c r="M51" s="4"/>
      <c r="N51" s="4"/>
      <c r="O51" s="4"/>
      <c r="P51" s="4"/>
      <c r="Q51" s="4"/>
      <c r="R51" s="4"/>
      <c r="S51" s="4"/>
    </row>
    <row r="52" spans="2:19" s="1" customFormat="1">
      <c r="G52" s="11"/>
    </row>
    <row r="53" spans="2:19">
      <c r="G53" s="11"/>
      <c r="J53" s="55"/>
      <c r="K53" s="54"/>
    </row>
    <row r="54" spans="2:19">
      <c r="H54" s="53"/>
      <c r="J54" s="55"/>
      <c r="K54" s="54"/>
    </row>
    <row r="55" spans="2:19">
      <c r="J55" s="55"/>
      <c r="K55" s="54"/>
      <c r="M55" s="11"/>
    </row>
    <row r="56" spans="2:19">
      <c r="J56" s="55"/>
      <c r="K56" s="54"/>
    </row>
    <row r="57" spans="2:19">
      <c r="J57" s="55"/>
      <c r="K57" s="54"/>
    </row>
    <row r="58" spans="2:19">
      <c r="J58" s="55"/>
    </row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 C33 C43 C45 C47 E50" formula="1"/>
    <ignoredError sqref="M22:M43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2017-07-14T21:01:17Z</dcterms:modified>
</cp:coreProperties>
</file>