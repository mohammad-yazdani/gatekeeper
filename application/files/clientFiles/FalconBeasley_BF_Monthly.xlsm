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C50" i="11" l="1"/>
  <c r="D50" i="11"/>
  <c r="F50" i="11"/>
  <c r="E50" i="11"/>
  <c r="G48" i="11"/>
  <c r="H48" i="11" s="1"/>
  <c r="I48" i="11" s="1"/>
  <c r="C48" i="11"/>
  <c r="O48" i="11"/>
  <c r="M48" i="11"/>
  <c r="N48" i="11" s="1"/>
  <c r="K48" i="11"/>
  <c r="K50" i="11" s="1"/>
  <c r="J48" i="11" l="1"/>
  <c r="J50" i="11" s="1"/>
  <c r="I50" i="11"/>
  <c r="P48" i="11"/>
  <c r="Q48" i="11" s="1"/>
  <c r="Q50" i="11" s="1"/>
  <c r="G47" i="11"/>
  <c r="H47" i="11" s="1"/>
  <c r="I47" i="11" s="1"/>
  <c r="C47" i="11"/>
  <c r="O47" i="11"/>
  <c r="M47" i="11"/>
  <c r="N47" i="11" s="1"/>
  <c r="K47" i="11"/>
  <c r="J47" i="11" l="1"/>
  <c r="P47" i="11"/>
  <c r="G46" i="11"/>
  <c r="C46" i="11"/>
  <c r="O46" i="11"/>
  <c r="K46" i="11"/>
  <c r="Q47" i="11" l="1"/>
  <c r="C45" i="11"/>
  <c r="G45" i="11" l="1"/>
  <c r="O45" i="11"/>
  <c r="K45" i="11"/>
  <c r="H45" i="11" l="1"/>
  <c r="I45" i="11" s="1"/>
  <c r="H46" i="11"/>
  <c r="I46" i="11" s="1"/>
  <c r="J45" i="11"/>
  <c r="H44" i="11"/>
  <c r="I44" i="11"/>
  <c r="J44" i="11" s="1"/>
  <c r="G44" i="11"/>
  <c r="C44" i="11"/>
  <c r="O44" i="11"/>
  <c r="K44" i="11"/>
  <c r="H43" i="11"/>
  <c r="J46" i="11" l="1"/>
  <c r="E14" i="11"/>
  <c r="F13" i="11" s="1"/>
  <c r="C43" i="11" l="1"/>
  <c r="O43" i="11"/>
  <c r="M43" i="11"/>
  <c r="K43" i="11"/>
  <c r="G43" i="11"/>
  <c r="N43" i="11" l="1"/>
  <c r="M44" i="11"/>
  <c r="I43" i="11"/>
  <c r="J43" i="11" s="1"/>
  <c r="P43" i="11"/>
  <c r="H42" i="11"/>
  <c r="N44" i="11" l="1"/>
  <c r="P44" i="11" s="1"/>
  <c r="Q44" i="11" s="1"/>
  <c r="M45" i="11"/>
  <c r="Q43" i="11"/>
  <c r="G42" i="11"/>
  <c r="I42" i="11" s="1"/>
  <c r="O42" i="11"/>
  <c r="M42" i="11"/>
  <c r="N42" i="11" s="1"/>
  <c r="K42" i="11"/>
  <c r="C42" i="11"/>
  <c r="N45" i="11" l="1"/>
  <c r="P45" i="11" s="1"/>
  <c r="Q45" i="11" s="1"/>
  <c r="M46" i="11"/>
  <c r="N46" i="11" s="1"/>
  <c r="P46" i="11" s="1"/>
  <c r="Q46" i="11" s="1"/>
  <c r="J42" i="11"/>
  <c r="P42" i="11"/>
  <c r="H41" i="11"/>
  <c r="G41" i="11"/>
  <c r="I41" i="11" s="1"/>
  <c r="O41" i="11"/>
  <c r="M41" i="11"/>
  <c r="N41" i="11" s="1"/>
  <c r="P41" i="11" s="1"/>
  <c r="K41" i="11"/>
  <c r="C41" i="11"/>
  <c r="Q42" i="11" l="1"/>
  <c r="J41" i="11"/>
  <c r="H40" i="11"/>
  <c r="O40" i="11"/>
  <c r="M40" i="11"/>
  <c r="N40" i="11" s="1"/>
  <c r="K40" i="11"/>
  <c r="G40" i="11"/>
  <c r="C40" i="11"/>
  <c r="Q41" i="11" l="1"/>
  <c r="I40" i="11"/>
  <c r="P40" i="11"/>
  <c r="H39" i="11"/>
  <c r="I39" i="11"/>
  <c r="J39" i="11" s="1"/>
  <c r="G39" i="11"/>
  <c r="O39" i="11"/>
  <c r="M39" i="11"/>
  <c r="N39" i="11" s="1"/>
  <c r="K39" i="11"/>
  <c r="C39" i="11"/>
  <c r="J40" i="11" l="1"/>
  <c r="P39" i="11"/>
  <c r="Q39" i="11" s="1"/>
  <c r="H38" i="11"/>
  <c r="I38" i="11"/>
  <c r="G38" i="11"/>
  <c r="O38" i="11"/>
  <c r="M38" i="11"/>
  <c r="N38" i="11" s="1"/>
  <c r="P38" i="11" s="1"/>
  <c r="K38" i="11"/>
  <c r="C38" i="11"/>
  <c r="Q40" i="11" l="1"/>
  <c r="J38" i="11"/>
  <c r="Q38" i="11"/>
  <c r="J37" i="11"/>
  <c r="I37" i="11"/>
  <c r="H37" i="11"/>
  <c r="G37" i="11"/>
  <c r="O37" i="11"/>
  <c r="K37" i="11"/>
  <c r="C37" i="11"/>
  <c r="H36" i="11" l="1"/>
  <c r="G36" i="11" l="1"/>
  <c r="I36" i="11" s="1"/>
  <c r="O36" i="11"/>
  <c r="M36" i="11"/>
  <c r="K36" i="11"/>
  <c r="C36" i="11"/>
  <c r="N36" i="11" l="1"/>
  <c r="P36" i="11" s="1"/>
  <c r="M37" i="11"/>
  <c r="N37" i="11" s="1"/>
  <c r="P37" i="11" s="1"/>
  <c r="Q37" i="11" s="1"/>
  <c r="J36" i="11"/>
  <c r="H35" i="11"/>
  <c r="O35" i="11"/>
  <c r="M35" i="11"/>
  <c r="N35" i="11" s="1"/>
  <c r="P35" i="11" s="1"/>
  <c r="K35" i="11"/>
  <c r="G35" i="11"/>
  <c r="I35" i="11" s="1"/>
  <c r="J35" i="11" s="1"/>
  <c r="C35" i="11"/>
  <c r="Q36" i="11" l="1"/>
  <c r="Q35" i="11"/>
  <c r="G34" i="11"/>
  <c r="H34" i="11" s="1"/>
  <c r="I34" i="11" s="1"/>
  <c r="C34" i="11"/>
  <c r="O34" i="11"/>
  <c r="M34" i="11"/>
  <c r="N34" i="11" s="1"/>
  <c r="P34" i="11" s="1"/>
  <c r="K34" i="11"/>
  <c r="J34" i="11" l="1"/>
  <c r="C33" i="11"/>
  <c r="Q34" i="11" l="1"/>
  <c r="G33" i="11"/>
  <c r="O33" i="11"/>
  <c r="M33" i="11"/>
  <c r="N33" i="11" s="1"/>
  <c r="K33" i="11"/>
  <c r="P33" i="11" l="1"/>
  <c r="G32" i="11" l="1"/>
  <c r="C32" i="11"/>
  <c r="O32" i="11"/>
  <c r="M32" i="11"/>
  <c r="N32" i="11" s="1"/>
  <c r="K32" i="11"/>
  <c r="P32" i="11" l="1"/>
  <c r="C31" i="11"/>
  <c r="G31" i="11"/>
  <c r="O31" i="11"/>
  <c r="M31" i="11"/>
  <c r="N31" i="11" s="1"/>
  <c r="P31" i="11" s="1"/>
  <c r="K31" i="11"/>
  <c r="C30" i="11" l="1"/>
  <c r="G30" i="11"/>
  <c r="O30" i="11"/>
  <c r="M30" i="11"/>
  <c r="N30" i="11" s="1"/>
  <c r="K30" i="11"/>
  <c r="P30" i="11" l="1"/>
  <c r="N29" i="11"/>
  <c r="O29" i="11"/>
  <c r="P29" i="11"/>
  <c r="G29" i="11"/>
  <c r="M29" i="11"/>
  <c r="K29" i="11"/>
  <c r="C29" i="11"/>
  <c r="G28" i="11" l="1"/>
  <c r="C28" i="11"/>
  <c r="O28" i="11"/>
  <c r="M28" i="11"/>
  <c r="N28" i="11" s="1"/>
  <c r="K28" i="11"/>
  <c r="P28" i="11" l="1"/>
  <c r="C27" i="11"/>
  <c r="K27" i="11"/>
  <c r="G27" i="11"/>
  <c r="O27" i="11"/>
  <c r="M27" i="11"/>
  <c r="N27" i="11" s="1"/>
  <c r="P27" i="11" l="1"/>
  <c r="G26" i="11"/>
  <c r="O26" i="11"/>
  <c r="K26" i="11"/>
  <c r="C26" i="11"/>
  <c r="H26" i="11" l="1"/>
  <c r="I26" i="11" s="1"/>
  <c r="H33" i="11"/>
  <c r="I33" i="11" s="1"/>
  <c r="H32" i="11"/>
  <c r="I32" i="11" s="1"/>
  <c r="J32" i="11" s="1"/>
  <c r="Q32" i="11" s="1"/>
  <c r="H31" i="11"/>
  <c r="I31" i="11" s="1"/>
  <c r="J31" i="11" s="1"/>
  <c r="Q31" i="11" s="1"/>
  <c r="H30" i="11"/>
  <c r="I30" i="11" s="1"/>
  <c r="J30" i="11" s="1"/>
  <c r="Q30" i="11" s="1"/>
  <c r="H29" i="11"/>
  <c r="I29" i="11" s="1"/>
  <c r="J29" i="11" s="1"/>
  <c r="Q29" i="11" s="1"/>
  <c r="H28" i="11"/>
  <c r="I28" i="11" s="1"/>
  <c r="J28" i="11" s="1"/>
  <c r="Q28" i="11" s="1"/>
  <c r="H27" i="11"/>
  <c r="I27" i="11" s="1"/>
  <c r="J27" i="11" s="1"/>
  <c r="Q27" i="11"/>
  <c r="J26" i="11"/>
  <c r="H25" i="11"/>
  <c r="C25" i="11"/>
  <c r="J33" i="11" l="1"/>
  <c r="M25" i="11"/>
  <c r="M26" i="11" s="1"/>
  <c r="N26" i="11" s="1"/>
  <c r="P26" i="11" s="1"/>
  <c r="Q26" i="11" s="1"/>
  <c r="M24" i="11"/>
  <c r="O25" i="11"/>
  <c r="K25" i="11"/>
  <c r="G25" i="11"/>
  <c r="I25" i="11" s="1"/>
  <c r="Q33" i="11" l="1"/>
  <c r="J25" i="11"/>
  <c r="C24" i="11"/>
  <c r="O24" i="11"/>
  <c r="K24" i="11"/>
  <c r="G24" i="11"/>
  <c r="H24" i="11" s="1"/>
  <c r="I24" i="11" s="1"/>
  <c r="N24" i="11" l="1"/>
  <c r="N25" i="11"/>
  <c r="P25" i="11" s="1"/>
  <c r="Q25" i="11" s="1"/>
  <c r="J24" i="11"/>
  <c r="P24" i="11"/>
  <c r="Q24" i="11" s="1"/>
  <c r="C23" i="11"/>
  <c r="H23" i="11"/>
  <c r="G23" i="11" l="1"/>
  <c r="I23" i="11" s="1"/>
  <c r="O23" i="11"/>
  <c r="M23" i="11"/>
  <c r="N23" i="11" s="1"/>
  <c r="P23" i="11" s="1"/>
  <c r="K23" i="11"/>
  <c r="J23" i="11" l="1"/>
  <c r="Q23" i="11"/>
  <c r="C22" i="11"/>
  <c r="C21" i="11" l="1"/>
  <c r="K22" i="11"/>
  <c r="G22" i="11"/>
  <c r="O21" i="11" l="1"/>
  <c r="O22" i="11"/>
  <c r="O20" i="11"/>
  <c r="P20" i="11" s="1"/>
  <c r="M21" i="11"/>
  <c r="M22" i="11" s="1"/>
  <c r="N22" i="11" s="1"/>
  <c r="G21" i="11"/>
  <c r="H22" i="11" s="1"/>
  <c r="I22" i="11" s="1"/>
  <c r="J22" i="11" l="1"/>
  <c r="H21" i="11"/>
  <c r="I21" i="11" s="1"/>
  <c r="J21" i="11" s="1"/>
  <c r="P22" i="11"/>
  <c r="Q22" i="11" l="1"/>
  <c r="N20" i="11" l="1"/>
  <c r="N21" i="11" l="1"/>
  <c r="P21" i="11" l="1"/>
</calcChain>
</file>

<file path=xl/sharedStrings.xml><?xml version="1.0" encoding="utf-8"?>
<sst xmlns="http://schemas.openxmlformats.org/spreadsheetml/2006/main" count="30" uniqueCount="25">
  <si>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</si>
  <si>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</si>
  <si>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</si>
  <si>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</si>
  <si>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</si>
  <si>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</si>
  <si>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</si>
  <si>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</si>
  <si>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</si>
  <si>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</si>
  <si>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</si>
  <si>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</si>
  <si>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</si>
  <si>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</si>
  <si>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</si>
  <si>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</si>
  <si>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</si>
  <si>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</si>
  <si>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</si>
  <si>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</si>
  <si>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</si>
  <si>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</si>
  <si>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>Trustees of Syndicate 2623 (A F Beazley and Others)</t>
  </si>
  <si>
    <t>Falcon</t>
  </si>
  <si>
    <t>Unhide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</si>
</sst>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  <numFmt numFmtId="172" formatCode="_-* #,##0.00000_-;\-* #,##0.00000_-;_-* &quot;-&quot;??_-;_-@_-"/>
    <numFmt numFmtId="173" formatCode="[$-F800]dddd\,\ mmmm\ dd\,\ yyyy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4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7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71" fontId="54" fillId="46" borderId="0" xfId="31499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72" fontId="54" fillId="46" borderId="0" xfId="31498" applyNumberFormat="1" applyFont="1" applyFill="1" applyBorder="1"/>
    <xf numFmtId="173" fontId="0" fillId="46" borderId="0" xfId="0" applyNumberFormat="1" applyFill="1"/>
    <xf numFmtId="0" fontId="0" fillId="46" borderId="0" xfId="0" applyNumberFormat="1" applyFill="1"/>
    <xf numFmtId="167" fontId="2" fillId="46" borderId="0" xfId="0" applyFont="1" applyFill="1" applyAlignment="1">
      <alignment horizontal="left"/>
    </xf>
    <xf numFmtId="169" fontId="55" fillId="46" borderId="0" xfId="31498" applyNumberFormat="1" applyFont="1" applyFill="1" applyAlignment="1">
      <alignment horizontal="right"/>
    </xf>
    <xf numFmtId="171" fontId="54" fillId="49" borderId="0" xfId="31499" applyNumberFormat="1" applyFont="1" applyFill="1" applyBorder="1"/>
    <xf numFmtId="169" fontId="0" fillId="46" borderId="0" xfId="31498" applyNumberFormat="1" applyFont="1" applyFill="1"/>
    <xf numFmtId="165" fontId="56" fillId="46" borderId="0" xfId="0" applyNumberFormat="1" applyFont="1" applyFill="1" applyBorder="1"/>
    <xf numFmtId="165" fontId="56" fillId="49" borderId="0" xfId="0" applyNumberFormat="1" applyFont="1" applyFill="1" applyBorder="1"/>
    <xf numFmtId="165" fontId="56" fillId="0" borderId="0" xfId="0" applyNumberFormat="1" applyFont="1" applyFill="1" applyBorder="1"/>
    <xf numFmtId="171" fontId="54" fillId="46" borderId="24" xfId="31499" applyNumberFormat="1" applyFont="1" applyFill="1" applyBorder="1"/>
    <xf numFmtId="10" fontId="54" fillId="46" borderId="28" xfId="31499" applyNumberFormat="1" applyFont="1" applyFill="1" applyBorder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933450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2"/>
  <sheetViews>
    <sheetView tabSelected="1" topLeftCell="A14" workbookViewId="0">
      <selection activeCell="R25" sqref="R25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5.42578125" style="3" customWidth="1"/>
    <col min="6" max="6" width="15.28515625" style="3" customWidth="1"/>
    <col min="7" max="8" width="19" style="3" hidden="1" customWidth="1"/>
    <col min="9" max="9" width="15.85546875" style="3" customWidth="1"/>
    <col min="10" max="10" width="16.85546875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/>
    </row>
    <row r="9" spans="2:17" s="1" customFormat="1">
      <c r="B9" s="5" t="s">
        <v>2</v>
      </c>
      <c r="D9" s="25"/>
      <c r="E9" s="26" t="s">
        <v>21</v>
      </c>
      <c r="G9" s="15"/>
      <c r="H9" s="15"/>
      <c r="J9" s="11"/>
      <c r="K9" s="11"/>
      <c r="L9" s="11"/>
      <c r="M9" s="11"/>
      <c r="N9" s="11"/>
      <c r="O9" s="11"/>
      <c r="Q9" s="46"/>
    </row>
    <row r="10" spans="2:17" s="1" customFormat="1">
      <c r="B10" s="5" t="s">
        <v>3</v>
      </c>
      <c r="D10" s="25"/>
      <c r="E10" s="26" t="s">
        <v>23</v>
      </c>
      <c r="F10" s="48" t="s">
        <v>22</v>
      </c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42886</v>
      </c>
      <c r="G11" s="16"/>
      <c r="H11" s="16"/>
      <c r="Q11" s="46"/>
    </row>
    <row r="12" spans="2:17" s="1" customFormat="1">
      <c r="B12" s="5" t="s">
        <v>19</v>
      </c>
      <c r="D12" s="25"/>
      <c r="E12" s="28">
        <v>10</v>
      </c>
      <c r="G12" s="16"/>
      <c r="H12" s="16"/>
      <c r="Q12" s="46"/>
    </row>
    <row r="13" spans="2:17" s="1" customFormat="1">
      <c r="B13" s="5" t="s">
        <v>12</v>
      </c>
      <c r="D13" s="25"/>
      <c r="E13" s="28">
        <v>20000000</v>
      </c>
      <c r="F13" s="51">
        <f>E13-E14</f>
        <v>17032004.640000001</v>
      </c>
      <c r="G13" s="17"/>
      <c r="H13" s="17"/>
      <c r="Q13" s="47"/>
    </row>
    <row r="14" spans="2:17" s="1" customFormat="1">
      <c r="B14" s="5" t="s">
        <v>5</v>
      </c>
      <c r="D14" s="25"/>
      <c r="E14" s="28">
        <f>E13-C50</f>
        <v>2967995.3599999994</v>
      </c>
      <c r="G14" s="17"/>
      <c r="H14" s="17"/>
      <c r="Q14" s="47"/>
    </row>
    <row r="15" spans="2:17" s="1" customFormat="1">
      <c r="B15" s="5"/>
      <c r="D15" s="6"/>
      <c r="F15" s="49" t="s">
        <v>24</v>
      </c>
      <c r="G15" s="7"/>
      <c r="H15" s="7"/>
    </row>
    <row r="16" spans="2:17" s="1" customFormat="1">
      <c r="B16" s="5"/>
      <c r="D16" s="6"/>
      <c r="F16" s="7"/>
      <c r="G16" s="7"/>
      <c r="H16" s="7"/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19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2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2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29">
        <v>42035</v>
      </c>
      <c r="C20" s="30">
        <v>4256224</v>
      </c>
      <c r="D20" s="31">
        <v>4494670</v>
      </c>
      <c r="E20" s="31">
        <v>0</v>
      </c>
      <c r="F20" s="32"/>
      <c r="G20" s="33"/>
      <c r="H20" s="34"/>
      <c r="I20" s="55"/>
      <c r="J20" s="41"/>
      <c r="K20" s="32"/>
      <c r="L20" s="52">
        <v>1.01E-4</v>
      </c>
      <c r="M20" s="35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40"/>
    </row>
    <row r="21" spans="2:17">
      <c r="B21" s="29">
        <v>42063</v>
      </c>
      <c r="C21" s="30">
        <f>+C20</f>
        <v>4256224</v>
      </c>
      <c r="D21" s="31">
        <v>2227634.79</v>
      </c>
      <c r="E21" s="31">
        <v>0</v>
      </c>
      <c r="F21" s="32">
        <v>-8.766032E-3</v>
      </c>
      <c r="G21" s="45">
        <f t="shared" ref="G21:G26" si="0">+F21+1</f>
        <v>0.99123396799999997</v>
      </c>
      <c r="H21" s="50">
        <f>+G21</f>
        <v>0.99123396799999997</v>
      </c>
      <c r="I21" s="40">
        <f t="shared" ref="I21:I26" si="1">+H21-1</f>
        <v>-8.7660320000000347E-3</v>
      </c>
      <c r="J21" s="41">
        <f t="shared" ref="J21:J26" si="2">+(1+I21)^(365/(B21-$B$20))-1</f>
        <v>-0.10843353355400132</v>
      </c>
      <c r="K21" s="32"/>
      <c r="L21" s="52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3"/>
    </row>
    <row r="22" spans="2:17">
      <c r="B22" s="29">
        <v>42094</v>
      </c>
      <c r="C22" s="30">
        <f>+C21+460723</f>
        <v>4716947</v>
      </c>
      <c r="D22" s="31">
        <v>4954852.6900000004</v>
      </c>
      <c r="E22" s="31">
        <v>0</v>
      </c>
      <c r="F22" s="32">
        <v>7.1120085819999998E-3</v>
      </c>
      <c r="G22" s="45">
        <f t="shared" si="0"/>
        <v>1.007112008582</v>
      </c>
      <c r="H22" s="50">
        <f>+G22*G21</f>
        <v>0.99828363248718588</v>
      </c>
      <c r="I22" s="40">
        <f t="shared" si="1"/>
        <v>-1.7163675128141209E-3</v>
      </c>
      <c r="J22" s="41">
        <f t="shared" si="2"/>
        <v>-1.0571058066468964E-2</v>
      </c>
      <c r="K22" s="32">
        <f>STDEV($F$21:F22)*(12^0.5)</f>
        <v>3.8893097541104038E-2</v>
      </c>
      <c r="L22" s="52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 t="shared" ref="P22" si="7">-1+(N22^(1/O22))</f>
        <v>9.6606773686946923E-5</v>
      </c>
      <c r="Q22" s="43">
        <f t="shared" ref="Q22:Q27" si="8">+(J22-P22)/K22</f>
        <v>-0.27428169815689851</v>
      </c>
    </row>
    <row r="23" spans="2:17">
      <c r="B23" s="29">
        <v>42124</v>
      </c>
      <c r="C23" s="30">
        <f>+C22+2687552.79</f>
        <v>7404499.79</v>
      </c>
      <c r="D23" s="31">
        <v>7794661.7199999997</v>
      </c>
      <c r="E23" s="31">
        <v>0</v>
      </c>
      <c r="F23" s="32">
        <v>1.9922555000000002E-2</v>
      </c>
      <c r="G23" s="45">
        <f t="shared" si="0"/>
        <v>1.019922555</v>
      </c>
      <c r="H23" s="50">
        <f>+G23*G22*G21</f>
        <v>1.0181719930610116</v>
      </c>
      <c r="I23" s="40">
        <f t="shared" si="1"/>
        <v>1.8171993061011582E-2</v>
      </c>
      <c r="J23" s="41">
        <f t="shared" si="2"/>
        <v>7.6652341514883648E-2</v>
      </c>
      <c r="K23" s="32">
        <f>STDEV($F$21:F23)*(12^0.5)</f>
        <v>4.9784682309078572E-2</v>
      </c>
      <c r="L23" s="52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" si="9">-1+(N23^(1/O23))</f>
        <v>3.4972506013364324E-5</v>
      </c>
      <c r="Q23" s="43">
        <f t="shared" si="8"/>
        <v>1.5389747499683972</v>
      </c>
    </row>
    <row r="24" spans="2:17">
      <c r="B24" s="29">
        <v>42155</v>
      </c>
      <c r="C24" s="30">
        <f>+C23+2415342.09</f>
        <v>9819841.879999999</v>
      </c>
      <c r="D24" s="31">
        <v>10235839.9</v>
      </c>
      <c r="E24" s="31">
        <v>0</v>
      </c>
      <c r="F24" s="32">
        <v>2.5304680000000001E-3</v>
      </c>
      <c r="G24" s="45">
        <f t="shared" si="0"/>
        <v>1.002530468</v>
      </c>
      <c r="H24" s="50">
        <f>+G24*G23*G22*G21</f>
        <v>1.0207484447079487</v>
      </c>
      <c r="I24" s="40">
        <f t="shared" si="1"/>
        <v>2.0748444707948677E-2</v>
      </c>
      <c r="J24" s="41">
        <f t="shared" si="2"/>
        <v>6.4456195929285975E-2</v>
      </c>
      <c r="K24" s="32">
        <f>STDEV($F$21:F24)*(12^0.5)</f>
        <v>4.1113786165689267E-2</v>
      </c>
      <c r="L24" s="52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ref="P24" si="10">-1+(N24^(1/O24))</f>
        <v>2.7977906966070165E-5</v>
      </c>
      <c r="Q24" s="43">
        <f t="shared" si="8"/>
        <v>1.5670709032409003</v>
      </c>
    </row>
    <row r="25" spans="2:17">
      <c r="B25" s="29">
        <v>42185</v>
      </c>
      <c r="C25" s="30">
        <f>+C24</f>
        <v>9819841.879999999</v>
      </c>
      <c r="D25" s="31">
        <v>10262548.380000001</v>
      </c>
      <c r="E25" s="31">
        <v>70644.240000000005</v>
      </c>
      <c r="F25" s="32">
        <v>9.5770629000000006E-3</v>
      </c>
      <c r="G25" s="45">
        <f t="shared" si="0"/>
        <v>1.0095770629</v>
      </c>
      <c r="H25" s="50">
        <f>+G25*G24*G23*G22*G21</f>
        <v>1.030524216767994</v>
      </c>
      <c r="I25" s="40">
        <f t="shared" si="1"/>
        <v>3.0524216767993995E-2</v>
      </c>
      <c r="J25" s="41">
        <f t="shared" si="2"/>
        <v>7.5907557184633712E-2</v>
      </c>
      <c r="K25" s="32">
        <f>STDEV($F$21:F25)*(12^0.5)</f>
        <v>3.6245601741356041E-2</v>
      </c>
      <c r="L25" s="52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ref="P25" si="11">-1+(N25^(1/O25))</f>
        <v>6.8761962477292826E-6</v>
      </c>
      <c r="Q25" s="43">
        <f t="shared" si="8"/>
        <v>2.0940659650239355</v>
      </c>
    </row>
    <row r="26" spans="2:17">
      <c r="B26" s="29">
        <v>42216</v>
      </c>
      <c r="C26" s="30">
        <f>+C25</f>
        <v>9819841.879999999</v>
      </c>
      <c r="D26" s="31">
        <v>10328577.6</v>
      </c>
      <c r="E26" s="31">
        <v>0</v>
      </c>
      <c r="F26" s="32">
        <v>6.43E-3</v>
      </c>
      <c r="G26" s="45">
        <f t="shared" si="0"/>
        <v>1.0064299999999999</v>
      </c>
      <c r="H26" s="50">
        <f>+G26*G25*G24*G23*G22*G21</f>
        <v>1.037150487481812</v>
      </c>
      <c r="I26" s="40">
        <f t="shared" si="1"/>
        <v>3.7150487481812045E-2</v>
      </c>
      <c r="J26" s="41">
        <f t="shared" si="2"/>
        <v>7.6331678282190341E-2</v>
      </c>
      <c r="K26" s="32">
        <f>STDEV($F$21:F26)*(12^0.5)</f>
        <v>3.2422934241364013E-2</v>
      </c>
      <c r="L26" s="52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ref="P26" si="12">-1+(N26^(1/O26))</f>
        <v>3.5013601660693894E-5</v>
      </c>
      <c r="Q26" s="43">
        <f t="shared" si="8"/>
        <v>2.3531696456760876</v>
      </c>
    </row>
    <row r="27" spans="2:17">
      <c r="B27" s="29">
        <v>42247</v>
      </c>
      <c r="C27" s="30">
        <f>+C26+445365.89</f>
        <v>10265207.77</v>
      </c>
      <c r="D27" s="31">
        <v>10802476.93</v>
      </c>
      <c r="E27" s="31">
        <v>56054.67</v>
      </c>
      <c r="F27" s="32">
        <v>7.89224E-3</v>
      </c>
      <c r="G27" s="45">
        <f t="shared" ref="G27:G32" si="13">+F27+1</f>
        <v>1.0078922400000001</v>
      </c>
      <c r="H27" s="50">
        <f>+G27*G26*G25*G24*G23*G22*G21</f>
        <v>1.0453359280451358</v>
      </c>
      <c r="I27" s="40">
        <f t="shared" ref="I27" si="14">+H27-1</f>
        <v>4.5335928045135754E-2</v>
      </c>
      <c r="J27" s="41">
        <f t="shared" ref="J27" si="15">+(1+I27)^(365/(B27-$B$20))-1</f>
        <v>7.9326419128747938E-2</v>
      </c>
      <c r="K27" s="32">
        <f>STDEV($F$21:F27)*(12^0.5)</f>
        <v>2.9687309944738199E-2</v>
      </c>
      <c r="L27" s="52">
        <v>0</v>
      </c>
      <c r="M27" s="33">
        <f t="shared" ref="M27" si="16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ref="P27" si="17">-1+(N27^(1/O27))</f>
        <v>3.063683440962528E-5</v>
      </c>
      <c r="Q27" s="43">
        <f t="shared" si="8"/>
        <v>2.6710329242341055</v>
      </c>
    </row>
    <row r="28" spans="2:17">
      <c r="B28" s="29">
        <v>42277</v>
      </c>
      <c r="C28" s="30">
        <f>+C27</f>
        <v>10265207.77</v>
      </c>
      <c r="D28" s="31">
        <v>11020498.074999999</v>
      </c>
      <c r="E28" s="31">
        <v>0</v>
      </c>
      <c r="F28" s="32">
        <v>2.0182513999999999E-2</v>
      </c>
      <c r="G28" s="45">
        <f t="shared" si="13"/>
        <v>1.020182514</v>
      </c>
      <c r="H28" s="50">
        <f>+G28*G27*G26*G25*G24*G23*G22*G21</f>
        <v>1.0664334350476095</v>
      </c>
      <c r="I28" s="40">
        <f t="shared" ref="I28" si="18">+H28-1</f>
        <v>6.6433435047609457E-2</v>
      </c>
      <c r="J28" s="41">
        <f t="shared" ref="J28" si="19">+(1+I28)^(365/(B28-$B$20))-1</f>
        <v>0.10187286088413749</v>
      </c>
      <c r="K28" s="32">
        <f>STDEV($F$21:F28)*(12^0.5)</f>
        <v>3.2264047121998901E-2</v>
      </c>
      <c r="L28" s="52">
        <v>-2.0000000000000001E-4</v>
      </c>
      <c r="M28" s="33">
        <f t="shared" ref="M28" si="20">+M27*(1+(L28*(B28-B27)/365))</f>
        <v>100.0003985760075</v>
      </c>
      <c r="N28" s="32">
        <f t="shared" ref="N28" si="21">+M28/100</f>
        <v>1.0000039857600749</v>
      </c>
      <c r="O28" s="33">
        <f>COUNT($B$20:B28)/12</f>
        <v>0.75</v>
      </c>
      <c r="P28" s="32">
        <f t="shared" ref="P28" si="22">-1+(N28^(1/O28))</f>
        <v>5.314350296714565E-6</v>
      </c>
      <c r="Q28" s="43">
        <f t="shared" ref="Q28" si="23">+(J28-P28)/K28</f>
        <v>3.1573083856669508</v>
      </c>
    </row>
    <row r="29" spans="2:17">
      <c r="B29" s="29">
        <v>42308</v>
      </c>
      <c r="C29" s="30">
        <f>+C28</f>
        <v>10265207.77</v>
      </c>
      <c r="D29" s="31">
        <v>11020498.074999999</v>
      </c>
      <c r="E29" s="31">
        <v>99516.24</v>
      </c>
      <c r="F29" s="32">
        <v>7.8795600000000007E-3</v>
      </c>
      <c r="G29" s="45">
        <f t="shared" si="13"/>
        <v>1.0078795599999999</v>
      </c>
      <c r="H29" s="50">
        <f>+G29*G28*G27*G26*G25*G24*G23*G22*G21</f>
        <v>1.0748364612850734</v>
      </c>
      <c r="I29" s="40">
        <f t="shared" ref="I29" si="24">+H29-1</f>
        <v>7.4836461285073375E-2</v>
      </c>
      <c r="J29" s="41">
        <f t="shared" ref="J29" si="25">+(1+I29)^(365/(B29-$B$20))-1</f>
        <v>0.10129751986875757</v>
      </c>
      <c r="K29" s="32">
        <f>STDEV($F$21:F29)*(12^0.5)</f>
        <v>3.0181426586445022E-2</v>
      </c>
      <c r="L29" s="52">
        <v>0</v>
      </c>
      <c r="M29" s="33">
        <f t="shared" ref="M29" si="26">+M28*(1+(L29*(B29-B28)/365))</f>
        <v>100.0003985760075</v>
      </c>
      <c r="N29" s="32">
        <f t="shared" ref="N29:N35" si="27">+M29/100</f>
        <v>1.0000039857600749</v>
      </c>
      <c r="O29" s="33">
        <f>COUNT($B$20:B29)/12</f>
        <v>0.83333333333333337</v>
      </c>
      <c r="P29" s="32">
        <f t="shared" ref="P29:P34" si="28">-1+(N29^(1/O29))</f>
        <v>4.7829139961930167E-6</v>
      </c>
      <c r="Q29" s="43">
        <f t="shared" ref="Q29" si="29">+(J29-P29)/K29</f>
        <v>3.3561282023777372</v>
      </c>
    </row>
    <row r="30" spans="2:17">
      <c r="B30" s="29">
        <v>42338</v>
      </c>
      <c r="C30" s="30">
        <f>+C29+598940.34</f>
        <v>10864148.109999999</v>
      </c>
      <c r="D30" s="31">
        <v>11619972.749600001</v>
      </c>
      <c r="E30" s="31">
        <v>0</v>
      </c>
      <c r="F30" s="32">
        <v>1.206103E-3</v>
      </c>
      <c r="G30" s="45">
        <f t="shared" si="13"/>
        <v>1.0012061029999999</v>
      </c>
      <c r="H30" s="50">
        <f>+G30*G29*G28*G27*G26*G25*G24*G23*G22*G21</f>
        <v>1.0761328247655384</v>
      </c>
      <c r="I30" s="40">
        <f t="shared" ref="I30" si="30">+H30-1</f>
        <v>7.6132824765538398E-2</v>
      </c>
      <c r="J30" s="41">
        <f t="shared" ref="J30" si="31">+(1+I30)^(365/(B30-$B$20))-1</f>
        <v>9.241156567576736E-2</v>
      </c>
      <c r="K30" s="32">
        <f>STDEV($F$21:F30)*(12^0.5)</f>
        <v>2.9436031164429836E-2</v>
      </c>
      <c r="L30" s="52">
        <v>9.1500000000000001E-4</v>
      </c>
      <c r="M30" s="33">
        <f t="shared" ref="M30" si="32">+M29*(1+(L30*(B30-B29)/365))</f>
        <v>100.00791915392779</v>
      </c>
      <c r="N30" s="32">
        <f t="shared" si="27"/>
        <v>1.0000791915392779</v>
      </c>
      <c r="O30" s="33">
        <f>COUNT($B$20:B30)/12</f>
        <v>0.91666666666666663</v>
      </c>
      <c r="P30" s="32">
        <f t="shared" si="28"/>
        <v>8.6391081087544563E-5</v>
      </c>
      <c r="Q30" s="43">
        <f t="shared" ref="Q30:Q35" si="33">+(J30-P30)/K30</f>
        <v>3.1364681630805076</v>
      </c>
    </row>
    <row r="31" spans="2:17">
      <c r="B31" s="29">
        <v>42369</v>
      </c>
      <c r="C31" s="30">
        <f>+C30+2858788.3</f>
        <v>13722936.41</v>
      </c>
      <c r="D31" s="31">
        <v>14477093.75</v>
      </c>
      <c r="E31" s="31">
        <v>0</v>
      </c>
      <c r="F31" s="32">
        <v>-1.1514999999999999E-4</v>
      </c>
      <c r="G31" s="45">
        <f t="shared" si="13"/>
        <v>0.99988485000000005</v>
      </c>
      <c r="H31" s="50">
        <f>+G31*G30*G29*G28*G27*G26*G25*G24*G23*G22*G21</f>
        <v>1.0760089080707664</v>
      </c>
      <c r="I31" s="40">
        <f t="shared" ref="I31" si="34">+H31-1</f>
        <v>7.6008908070766434E-2</v>
      </c>
      <c r="J31" s="41">
        <f t="shared" ref="J31" si="35">+(1+I31)^(365/(B31-$B$20))-1</f>
        <v>8.3350121722079784E-2</v>
      </c>
      <c r="K31" s="32">
        <f>STDEV($F$21:F31)*(12^0.5)</f>
        <v>2.9006702383848046E-2</v>
      </c>
      <c r="L31" s="52">
        <v>1.2199999999999999E-3</v>
      </c>
      <c r="M31" s="33">
        <f t="shared" ref="M31" si="36">+M30*(1+(L31*(B31-B30)/365))</f>
        <v>100.01828161831793</v>
      </c>
      <c r="N31" s="32">
        <f t="shared" si="27"/>
        <v>1.0001828161831794</v>
      </c>
      <c r="O31" s="33">
        <f>COUNT($B$20:B31)/12</f>
        <v>1</v>
      </c>
      <c r="P31" s="32">
        <f t="shared" si="28"/>
        <v>1.8281618317939063E-4</v>
      </c>
      <c r="Q31" s="43">
        <f t="shared" si="33"/>
        <v>2.8671754699427976</v>
      </c>
    </row>
    <row r="32" spans="2:17">
      <c r="B32" s="29">
        <v>42400</v>
      </c>
      <c r="C32" s="30">
        <f>+C31</f>
        <v>13722936.41</v>
      </c>
      <c r="D32" s="31">
        <v>14434923.98</v>
      </c>
      <c r="E32" s="31">
        <v>118252.32</v>
      </c>
      <c r="F32" s="32">
        <v>5.2986550000000002E-3</v>
      </c>
      <c r="G32" s="45">
        <f t="shared" si="13"/>
        <v>1.005298655</v>
      </c>
      <c r="H32" s="50">
        <f>+G32*G31*G30*G29*G28*G27*G26*G25*G24*G23*G22*G21</f>
        <v>1.0817103080515607</v>
      </c>
      <c r="I32" s="40">
        <f t="shared" ref="I32" si="37">+H32-1</f>
        <v>8.1710308051560654E-2</v>
      </c>
      <c r="J32" s="41">
        <f t="shared" ref="J32" si="38">+(1+I32)^(365/(B32-$B$20))-1</f>
        <v>8.1710308051560654E-2</v>
      </c>
      <c r="K32" s="32">
        <f>STDEV($F$21:F32)*(12^0.5)</f>
        <v>2.7692984817705549E-2</v>
      </c>
      <c r="L32" s="52">
        <v>2.186E-3</v>
      </c>
      <c r="M32" s="33">
        <f t="shared" ref="M32" si="39">+M31*(1+(L32*(B32-B31)/365))</f>
        <v>100.03685103988546</v>
      </c>
      <c r="N32" s="32">
        <f t="shared" si="27"/>
        <v>1.0003685103988547</v>
      </c>
      <c r="O32" s="33">
        <f>COUNT($B$20:B32)/12</f>
        <v>1.0833333333333333</v>
      </c>
      <c r="P32" s="32">
        <f t="shared" si="28"/>
        <v>3.4015862443559364E-4</v>
      </c>
      <c r="Q32" s="43">
        <f t="shared" si="33"/>
        <v>2.9382946606427538</v>
      </c>
    </row>
    <row r="33" spans="2:17">
      <c r="B33" s="29">
        <v>42429</v>
      </c>
      <c r="C33" s="30">
        <f>+C32+407279.43</f>
        <v>14130215.84</v>
      </c>
      <c r="D33" s="31">
        <v>14856633.789999999</v>
      </c>
      <c r="E33" s="31">
        <v>0</v>
      </c>
      <c r="F33" s="32">
        <v>9.7225000000000002E-4</v>
      </c>
      <c r="G33" s="45">
        <f t="shared" ref="G33:G38" si="40">+F33+1</f>
        <v>1.00097225</v>
      </c>
      <c r="H33" s="50">
        <f>+G33*G32*G31*G30*G29*G28*G27*G26*G25*G24*G23*G22*G21</f>
        <v>1.0827620008985634</v>
      </c>
      <c r="I33" s="40">
        <f t="shared" ref="I33" si="41">+H33-1</f>
        <v>8.2762000898563448E-2</v>
      </c>
      <c r="J33" s="41">
        <f t="shared" ref="J33" si="42">+(1+I33)^(365/(B33-$B$20))-1</f>
        <v>7.6443492172344696E-2</v>
      </c>
      <c r="K33" s="32">
        <f>STDEV($F$21:F33)*(12^0.5)</f>
        <v>2.705891655434876E-2</v>
      </c>
      <c r="L33" s="52">
        <v>2.186E-3</v>
      </c>
      <c r="M33" s="33">
        <f t="shared" ref="M33" si="43">+M32*(1+(L33*(B33-B32)/365))</f>
        <v>100.05422565943292</v>
      </c>
      <c r="N33" s="32">
        <f t="shared" si="27"/>
        <v>1.0005422565943292</v>
      </c>
      <c r="O33" s="33">
        <f>COUNT($B$20:B33)/12</f>
        <v>1.1666666666666667</v>
      </c>
      <c r="P33" s="32">
        <f t="shared" si="28"/>
        <v>4.6477336770101019E-4</v>
      </c>
      <c r="Q33" s="43">
        <f t="shared" si="33"/>
        <v>2.8078995199988079</v>
      </c>
    </row>
    <row r="34" spans="2:17">
      <c r="B34" s="29">
        <v>42460</v>
      </c>
      <c r="C34" s="30">
        <f t="shared" ref="C34:C42" si="44">+C33</f>
        <v>14130215.84</v>
      </c>
      <c r="D34" s="31">
        <v>15088643.279999999</v>
      </c>
      <c r="E34" s="31">
        <v>0</v>
      </c>
      <c r="F34" s="32">
        <v>1.561656E-2</v>
      </c>
      <c r="G34" s="45">
        <f t="shared" si="40"/>
        <v>1.01561656</v>
      </c>
      <c r="H34" s="50">
        <f>+G34*G33*G32*G31*G30*G29*G28*G27*G26*G25*G24*G23*G22*G21</f>
        <v>1.0996710186513157</v>
      </c>
      <c r="I34" s="40">
        <f t="shared" ref="I34" si="45">+H34-1</f>
        <v>9.9671018651315668E-2</v>
      </c>
      <c r="J34" s="41">
        <f t="shared" ref="J34" si="46">+(1+I34)^(365/(B34-$B$20))-1</f>
        <v>8.5019256589577319E-2</v>
      </c>
      <c r="K34" s="32">
        <f>STDEV($F$21:F34)*(12^0.5)</f>
        <v>2.7431035260062697E-2</v>
      </c>
      <c r="L34" s="52">
        <v>1.678E-3</v>
      </c>
      <c r="M34" s="33">
        <f t="shared" ref="M34" si="47">+M33*(1+(L34*(B34-B33)/365))</f>
        <v>100.06848489425579</v>
      </c>
      <c r="N34" s="32">
        <f t="shared" si="27"/>
        <v>1.0006848489425579</v>
      </c>
      <c r="O34" s="33">
        <f>COUNT($B$20:B34)/12</f>
        <v>1.25</v>
      </c>
      <c r="P34" s="32">
        <f t="shared" si="28"/>
        <v>5.4784164287524639E-4</v>
      </c>
      <c r="Q34" s="43">
        <f t="shared" si="33"/>
        <v>3.0794103884837849</v>
      </c>
    </row>
    <row r="35" spans="2:17">
      <c r="B35" s="29">
        <v>42490</v>
      </c>
      <c r="C35" s="30">
        <f t="shared" si="44"/>
        <v>14130215.84</v>
      </c>
      <c r="D35" s="31">
        <v>14705032.52</v>
      </c>
      <c r="E35" s="31">
        <v>553635.87</v>
      </c>
      <c r="F35" s="32">
        <v>1.1697600000000001E-2</v>
      </c>
      <c r="G35" s="45">
        <f t="shared" si="40"/>
        <v>1.0116976</v>
      </c>
      <c r="H35" s="50">
        <f>+G35*G34*G33*G32*G31*G30*G29*G28*G27*G26*G25*G24*G23*G22*G21</f>
        <v>1.1125345303590921</v>
      </c>
      <c r="I35" s="40">
        <f t="shared" ref="I35" si="48">+H35-1</f>
        <v>0.11253453035909211</v>
      </c>
      <c r="J35" s="41">
        <f t="shared" ref="J35" si="49">+(1+I35)^(365/(B35-$B$20))-1</f>
        <v>8.9312751094201115E-2</v>
      </c>
      <c r="K35" s="32">
        <f>STDEV($F$21:F35)*(12^0.5)</f>
        <v>2.6788117288389098E-2</v>
      </c>
      <c r="L35" s="52">
        <v>1.5250000000000001E-3</v>
      </c>
      <c r="M35" s="33">
        <f t="shared" ref="M35" si="50">+M34*(1+(L35*(B35-B34)/365))</f>
        <v>100.08102772489664</v>
      </c>
      <c r="N35" s="32">
        <f t="shared" si="27"/>
        <v>1.0008102772489664</v>
      </c>
      <c r="O35" s="33">
        <f>COUNT($B$20:B35)/12</f>
        <v>1.3333333333333333</v>
      </c>
      <c r="P35" s="32">
        <f t="shared" ref="P35" si="51">-1+(N35^(1/O35))</f>
        <v>6.0764640600674547E-4</v>
      </c>
      <c r="Q35" s="43">
        <f t="shared" si="33"/>
        <v>3.3113601726181128</v>
      </c>
    </row>
    <row r="36" spans="2:17">
      <c r="B36" s="29">
        <v>42521</v>
      </c>
      <c r="C36" s="30">
        <f t="shared" si="44"/>
        <v>14130215.84</v>
      </c>
      <c r="D36" s="31">
        <v>15255003.34</v>
      </c>
      <c r="E36" s="31">
        <v>0</v>
      </c>
      <c r="F36" s="32">
        <v>3.7400179999999998E-2</v>
      </c>
      <c r="G36" s="45">
        <f t="shared" si="40"/>
        <v>1.0374001799999999</v>
      </c>
      <c r="H36" s="50">
        <f>+G36*G35*G34*G33*G32*G31*G30*G29*G28*G27*G26*G25*G24*G23*G22*G21</f>
        <v>1.154143522050737</v>
      </c>
      <c r="I36" s="40">
        <f t="shared" ref="I36" si="52">+H36-1</f>
        <v>0.154143522050737</v>
      </c>
      <c r="J36" s="41">
        <f t="shared" ref="J36" si="53">+(1+I36)^(365/(B36-$B$20))-1</f>
        <v>0.11367614473777721</v>
      </c>
      <c r="K36" s="32">
        <f>STDEV($F$21:F36)*(12^0.5)</f>
        <v>3.6817174312226676E-2</v>
      </c>
      <c r="L36" s="54">
        <v>1.7799999999999999E-3</v>
      </c>
      <c r="M36" s="33">
        <f t="shared" ref="M36" si="54">+M35*(1+(L36*(B36-B35)/365))</f>
        <v>100.09615778273186</v>
      </c>
      <c r="N36" s="32">
        <f t="shared" ref="N36" si="55">+M36/100</f>
        <v>1.0009615778273186</v>
      </c>
      <c r="O36" s="33">
        <f>COUNT($B$20:B36)/12</f>
        <v>1.4166666666666667</v>
      </c>
      <c r="P36" s="32">
        <f t="shared" ref="P36" si="56">-1+(N36^(1/O36))</f>
        <v>6.7866487652312735E-4</v>
      </c>
      <c r="Q36" s="43">
        <f t="shared" ref="Q36" si="57">+(J36-P36)/K36</f>
        <v>3.0691513396162118</v>
      </c>
    </row>
    <row r="37" spans="2:17">
      <c r="B37" s="29">
        <v>42551</v>
      </c>
      <c r="C37" s="30">
        <f t="shared" si="44"/>
        <v>14130215.84</v>
      </c>
      <c r="D37" s="31">
        <v>15318688.76</v>
      </c>
      <c r="E37" s="31">
        <v>0</v>
      </c>
      <c r="F37" s="32">
        <v>4.1746999999999999E-3</v>
      </c>
      <c r="G37" s="45">
        <f t="shared" si="40"/>
        <v>1.0041747000000001</v>
      </c>
      <c r="H37" s="50">
        <f>+G37*G36*G35*G34*G33*G32*G31*G30*G29*G28*G27*G26*G25*G24*G23*G22*G21</f>
        <v>1.1589617250122428</v>
      </c>
      <c r="I37" s="40">
        <f t="shared" ref="I37:I42" si="58">+H37-1</f>
        <v>0.15896172501224282</v>
      </c>
      <c r="J37" s="41">
        <f t="shared" ref="J37:J42" si="59">+(1+I37)^(365/(B37-$B$20))-1</f>
        <v>0.10999287767362809</v>
      </c>
      <c r="K37" s="32">
        <f>STDEV($F$21:F37)*(12^0.5)</f>
        <v>3.588284884442506E-2</v>
      </c>
      <c r="L37" s="52">
        <v>1.6800000000000001E-3</v>
      </c>
      <c r="M37" s="33">
        <f t="shared" ref="M37" si="60">+M36*(1+(L37*(B37-B36)/365))</f>
        <v>100.10997927958735</v>
      </c>
      <c r="N37" s="32">
        <f t="shared" ref="N37" si="61">+M37/100</f>
        <v>1.0010997927958736</v>
      </c>
      <c r="O37" s="33">
        <f>COUNT($B$20:B37)/12</f>
        <v>1.5</v>
      </c>
      <c r="P37" s="32">
        <f t="shared" ref="P37" si="62">-1+(N37^(1/O37))</f>
        <v>7.3306086909896706E-4</v>
      </c>
      <c r="Q37" s="43">
        <f t="shared" ref="Q37" si="63">+(J37-P37)/K37</f>
        <v>3.0449036328815424</v>
      </c>
    </row>
    <row r="38" spans="2:17">
      <c r="B38" s="29">
        <v>42582</v>
      </c>
      <c r="C38" s="30">
        <f t="shared" si="44"/>
        <v>14130215.84</v>
      </c>
      <c r="D38" s="31">
        <v>14946606.810000001</v>
      </c>
      <c r="E38" s="31">
        <v>496352.61</v>
      </c>
      <c r="F38" s="32">
        <v>8.3840000000000008E-3</v>
      </c>
      <c r="G38" s="45">
        <f t="shared" si="40"/>
        <v>1.0083839999999999</v>
      </c>
      <c r="H38" s="50">
        <f>+G38*G37*G36*G35*G34*G33*G32*G31*G30*G29*G28*G27*G26*G25*G24*G23*G22*G21</f>
        <v>1.1686784601147453</v>
      </c>
      <c r="I38" s="40">
        <f t="shared" si="58"/>
        <v>0.1686784601147453</v>
      </c>
      <c r="J38" s="41">
        <f t="shared" si="59"/>
        <v>0.1096123421874764</v>
      </c>
      <c r="K38" s="32">
        <f>STDEV($F$21:F38)*(12^0.5)</f>
        <v>3.4812869329375086E-2</v>
      </c>
      <c r="L38" s="52">
        <v>1.7799999999999999E-3</v>
      </c>
      <c r="M38" s="33">
        <f t="shared" ref="M38" si="64">+M37*(1+(L38*(B38-B37)/365))</f>
        <v>100.12511371426308</v>
      </c>
      <c r="N38" s="32">
        <f t="shared" ref="N38" si="65">+M38/100</f>
        <v>1.0012511371426307</v>
      </c>
      <c r="O38" s="33">
        <f>COUNT($B$20:B38)/12</f>
        <v>1.5833333333333333</v>
      </c>
      <c r="P38" s="32">
        <f t="shared" ref="P38" si="66">-1+(N38^(1/O38))</f>
        <v>7.9000986581090338E-4</v>
      </c>
      <c r="Q38" s="43">
        <f t="shared" ref="Q38" si="67">+(J38-P38)/K38</f>
        <v>3.1259225228482173</v>
      </c>
    </row>
    <row r="39" spans="2:17">
      <c r="B39" s="29">
        <v>42613</v>
      </c>
      <c r="C39" s="30">
        <f t="shared" si="44"/>
        <v>14130215.84</v>
      </c>
      <c r="D39" s="31">
        <v>14957363.390000001</v>
      </c>
      <c r="E39" s="31">
        <v>64501.27</v>
      </c>
      <c r="F39" s="32">
        <v>5.0568999999999996E-3</v>
      </c>
      <c r="G39" s="45">
        <f t="shared" ref="G39:G44" si="68">+F39+1</f>
        <v>1.0050569</v>
      </c>
      <c r="H39" s="50">
        <f>+G39*G38*G37*G36*G35*G34*G33*G32*G31*G30*G29*G28*G27*G26*G25*G24*G23*G22*G21</f>
        <v>1.1745883502196994</v>
      </c>
      <c r="I39" s="40">
        <f t="shared" si="58"/>
        <v>0.17458835021969943</v>
      </c>
      <c r="J39" s="41">
        <f t="shared" si="59"/>
        <v>0.1069600978251728</v>
      </c>
      <c r="K39" s="32">
        <f>STDEV($F$21:F39)*(12^0.5)</f>
        <v>3.3958696647152981E-2</v>
      </c>
      <c r="L39" s="52">
        <v>2.6870000000000002E-3</v>
      </c>
      <c r="M39" s="33">
        <f t="shared" ref="M39" si="69">+M38*(1+(L39*(B39-B38)/365))</f>
        <v>100.14796336247419</v>
      </c>
      <c r="N39" s="32">
        <f t="shared" ref="N39" si="70">+M39/100</f>
        <v>1.0014796336247418</v>
      </c>
      <c r="O39" s="33">
        <f>COUNT($B$20:B39)/12</f>
        <v>1.6666666666666667</v>
      </c>
      <c r="P39" s="32">
        <f t="shared" ref="P39" si="71">-1+(N39^(1/O39))</f>
        <v>8.8751763821015572E-4</v>
      </c>
      <c r="Q39" s="43">
        <f t="shared" ref="Q39" si="72">+(J39-P39)/K39</f>
        <v>3.1235763047418228</v>
      </c>
    </row>
    <row r="40" spans="2:17">
      <c r="B40" s="29">
        <v>42643</v>
      </c>
      <c r="C40" s="30">
        <f t="shared" si="44"/>
        <v>14130215.84</v>
      </c>
      <c r="D40" s="31">
        <v>15031994.48</v>
      </c>
      <c r="E40" s="31">
        <v>0</v>
      </c>
      <c r="F40" s="32">
        <v>4.9896000000000003E-3</v>
      </c>
      <c r="G40" s="45">
        <f t="shared" si="68"/>
        <v>1.0049896</v>
      </c>
      <c r="H40" s="50">
        <f>+G40*G39*G38*G37*G36*G35*G34*G33*G32*G31*G30*G29*G28*G27*G26*G25*G24*G23*G22*G21</f>
        <v>1.1804490762519559</v>
      </c>
      <c r="I40" s="40">
        <f t="shared" si="58"/>
        <v>0.18044907625195594</v>
      </c>
      <c r="J40" s="41">
        <f t="shared" si="59"/>
        <v>0.10471958574382501</v>
      </c>
      <c r="K40" s="32">
        <f>STDEV($F$21:F40)*(12^0.5)</f>
        <v>3.3167831754915021E-2</v>
      </c>
      <c r="L40" s="52">
        <v>1.825E-3</v>
      </c>
      <c r="M40" s="33">
        <f t="shared" ref="M40" si="73">+M39*(1+(L40*(B40-B39)/365))</f>
        <v>100.16298555697857</v>
      </c>
      <c r="N40" s="32">
        <f t="shared" ref="N40" si="74">+M40/100</f>
        <v>1.0016298555697858</v>
      </c>
      <c r="O40" s="33">
        <f>COUNT($B$20:B40)/12</f>
        <v>1.75</v>
      </c>
      <c r="P40" s="32">
        <f t="shared" ref="P40" si="75">-1+(N40^(1/O40))</f>
        <v>9.310210150403897E-4</v>
      </c>
      <c r="Q40" s="43">
        <f t="shared" ref="Q40" si="76">+(J40-P40)/K40</f>
        <v>3.129193535944796</v>
      </c>
    </row>
    <row r="41" spans="2:17">
      <c r="B41" s="29">
        <v>42674</v>
      </c>
      <c r="C41" s="30">
        <f t="shared" si="44"/>
        <v>14130215.84</v>
      </c>
      <c r="D41" s="31">
        <v>14923136.58</v>
      </c>
      <c r="E41" s="31">
        <v>230361.67</v>
      </c>
      <c r="F41" s="32">
        <v>8.2088000000000005E-3</v>
      </c>
      <c r="G41" s="45">
        <f t="shared" si="68"/>
        <v>1.0082088</v>
      </c>
      <c r="H41" s="50">
        <f>+G41*G40*G39*G38*G37*G36*G35*G34*G33*G32*G31*G30*G29*G28*G27*G26*G25*G24*G23*G22*G21</f>
        <v>1.1901391466290927</v>
      </c>
      <c r="I41" s="40">
        <f t="shared" si="58"/>
        <v>0.1901391466290927</v>
      </c>
      <c r="J41" s="41">
        <f t="shared" si="59"/>
        <v>0.10454091512844021</v>
      </c>
      <c r="K41" s="32">
        <f>STDEV($F$21:F41)*(12^0.5)</f>
        <v>3.232823914590395E-2</v>
      </c>
      <c r="L41" s="52">
        <v>1.622E-3</v>
      </c>
      <c r="M41" s="33">
        <f t="shared" ref="M41" si="77">+M40*(1+(L41*(B41-B40)/365))</f>
        <v>100.17678390010124</v>
      </c>
      <c r="N41" s="32">
        <f t="shared" ref="N41" si="78">+M41/100</f>
        <v>1.0017678390010125</v>
      </c>
      <c r="O41" s="33">
        <f>COUNT($B$20:B41)/12</f>
        <v>1.8333333333333333</v>
      </c>
      <c r="P41" s="32">
        <f t="shared" ref="P41" si="79">-1+(N41^(1/O41))</f>
        <v>9.6388872217945121E-4</v>
      </c>
      <c r="Q41" s="43">
        <f t="shared" ref="Q41" si="80">+(J41-P41)/K41</f>
        <v>3.203917972110899</v>
      </c>
    </row>
    <row r="42" spans="2:17">
      <c r="B42" s="29">
        <v>42704</v>
      </c>
      <c r="C42" s="30">
        <f t="shared" si="44"/>
        <v>14130215.84</v>
      </c>
      <c r="D42" s="31">
        <v>14857337.300000001</v>
      </c>
      <c r="E42" s="31">
        <v>101359.13</v>
      </c>
      <c r="F42" s="32">
        <v>2.3990000000000001E-3</v>
      </c>
      <c r="G42" s="45">
        <f t="shared" si="68"/>
        <v>1.002399</v>
      </c>
      <c r="H42" s="50">
        <f>+G42*G41*G40*G39*G38*G37*G36*G35*G34*G33*G32*G31*G30*G29*G28*G27*G26*G25*G24*G23*G22*G21</f>
        <v>1.192994290441856</v>
      </c>
      <c r="I42" s="40">
        <f t="shared" si="58"/>
        <v>0.19299429044185601</v>
      </c>
      <c r="J42" s="41">
        <f t="shared" si="59"/>
        <v>0.10106550989765384</v>
      </c>
      <c r="K42" s="32">
        <f>STDEV($F$21:F42)*(12^0.5)</f>
        <v>3.1855260810688069E-2</v>
      </c>
      <c r="L42" s="52">
        <v>3.5999999999999999E-3</v>
      </c>
      <c r="M42" s="33">
        <f t="shared" ref="M42" si="81">+M41*(1+(L42*(B42-B41)/365))</f>
        <v>100.20642524985799</v>
      </c>
      <c r="N42" s="32">
        <f t="shared" ref="N42" si="82">+M42/100</f>
        <v>1.0020642524985799</v>
      </c>
      <c r="O42" s="33">
        <f>COUNT($B$20:B42)/12</f>
        <v>1.9166666666666667</v>
      </c>
      <c r="P42" s="32">
        <f t="shared" ref="P42" si="83">-1+(N42^(1/O42))</f>
        <v>1.0764702082668443E-3</v>
      </c>
      <c r="Q42" s="43">
        <f t="shared" ref="Q42" si="84">+(J42-P42)/K42</f>
        <v>3.1388548435879922</v>
      </c>
    </row>
    <row r="43" spans="2:17">
      <c r="B43" s="29">
        <v>42735</v>
      </c>
      <c r="C43" s="30">
        <f>+C42+1058895.8</f>
        <v>15189111.640000001</v>
      </c>
      <c r="D43" s="31">
        <v>15982243.49</v>
      </c>
      <c r="E43" s="31">
        <v>30714.89</v>
      </c>
      <c r="F43" s="32">
        <v>6.0889000000000004E-3</v>
      </c>
      <c r="G43" s="45">
        <f t="shared" si="68"/>
        <v>1.0060889</v>
      </c>
      <c r="H43" s="50">
        <f>+G43*G42*G41*G40*G39*G38*G37*G36*G35*G34*G33*G32*G31*G30*G29*G28*G27*G26*G25*G24*G23*G22*G21</f>
        <v>1.2002583133769278</v>
      </c>
      <c r="I43" s="40">
        <f t="shared" ref="I43" si="85">+H43-1</f>
        <v>0.20025831337692779</v>
      </c>
      <c r="J43" s="41">
        <f t="shared" ref="J43" si="86">+(1+I43)^(365/(B43-$B$20))-1</f>
        <v>9.985670169641514E-2</v>
      </c>
      <c r="K43" s="32">
        <f>STDEV($F$21:F43)*(12^0.5)</f>
        <v>3.1156510645264333E-2</v>
      </c>
      <c r="L43" s="52">
        <v>4.1580000000000002E-3</v>
      </c>
      <c r="M43" s="33">
        <f t="shared" ref="M43" si="87">+M42*(1+(L43*(B43-B42)/365))</f>
        <v>100.24181266849321</v>
      </c>
      <c r="N43" s="32">
        <f t="shared" ref="N43" si="88">+M43/100</f>
        <v>1.0024181266849321</v>
      </c>
      <c r="O43" s="33">
        <f>COUNT($B$20:B43)/12</f>
        <v>2</v>
      </c>
      <c r="P43" s="32">
        <f t="shared" ref="P43" si="89">-1+(N43^(1/O43))</f>
        <v>1.2083333077748115E-3</v>
      </c>
      <c r="Q43" s="43">
        <f t="shared" ref="Q43" si="90">+(J43-P43)/K43</f>
        <v>3.1662200402288789</v>
      </c>
    </row>
    <row r="44" spans="2:17">
      <c r="B44" s="29">
        <v>42766</v>
      </c>
      <c r="C44" s="30">
        <f>+C43</f>
        <v>15189111.640000001</v>
      </c>
      <c r="D44" s="31">
        <v>16140742.789999999</v>
      </c>
      <c r="E44" s="31">
        <v>0</v>
      </c>
      <c r="F44" s="32">
        <v>9.9171999999999993E-3</v>
      </c>
      <c r="G44" s="45">
        <f t="shared" si="68"/>
        <v>1.0099172000000001</v>
      </c>
      <c r="H44" s="50">
        <f>+G44*G43*G42*G41*G40*G39*G38*G37*G36*G35*G34*G33*G32*G31*G30*G29*G28*G27*G26*G25*G24*G23*G22*G21</f>
        <v>1.212161515122349</v>
      </c>
      <c r="I44" s="40">
        <f t="shared" ref="I44" si="91">+H44-1</f>
        <v>0.21216151512234904</v>
      </c>
      <c r="J44" s="41">
        <f t="shared" ref="J44" si="92">+(1+I44)^(365/(B44-$B$20))-1</f>
        <v>0.10083718430246535</v>
      </c>
      <c r="K44" s="32">
        <f>STDEV($F$21:F44)*(12^0.5)</f>
        <v>3.0501621053629E-2</v>
      </c>
      <c r="L44" s="52">
        <v>4.614E-3</v>
      </c>
      <c r="M44" s="33">
        <f t="shared" ref="M44" si="93">+M43*(1+(L44*(B44-B43)/365))</f>
        <v>100.28109482584452</v>
      </c>
      <c r="N44" s="32">
        <f t="shared" ref="N44" si="94">+M44/100</f>
        <v>1.0028109482584453</v>
      </c>
      <c r="O44" s="33">
        <f>COUNT($B$20:B44)/12</f>
        <v>2.0833333333333335</v>
      </c>
      <c r="P44" s="32">
        <f t="shared" ref="P44" si="95">-1+(N44^(1/O44))</f>
        <v>1.3482704675087387E-3</v>
      </c>
      <c r="Q44" s="43">
        <f t="shared" ref="Q44" si="96">+(J44-P44)/K44</f>
        <v>3.261758240981087</v>
      </c>
    </row>
    <row r="45" spans="2:17">
      <c r="B45" s="29">
        <v>42794</v>
      </c>
      <c r="C45" s="30">
        <f>+C44+1535744</f>
        <v>16724855.640000001</v>
      </c>
      <c r="D45" s="31">
        <v>17592700.579999998</v>
      </c>
      <c r="E45" s="31">
        <v>168931.89</v>
      </c>
      <c r="F45" s="32">
        <v>4.8634000000000004E-3</v>
      </c>
      <c r="G45" s="45">
        <f>+F45+1</f>
        <v>1.0048634000000001</v>
      </c>
      <c r="H45" s="50">
        <f>+G45*G44*G43*G42*G41*G40*G39*G38*G37*G36*G35*G34*G33*G32*G31*G30*G29*G28*G27*G26*G25*G24*G23*G22*G21</f>
        <v>1.2180567414349954</v>
      </c>
      <c r="I45" s="40">
        <f t="shared" ref="I45" si="97">+H45-1</f>
        <v>0.21805674143499543</v>
      </c>
      <c r="J45" s="41">
        <f t="shared" ref="J45" si="98">+(1+I45)^(365/(B45-$B$20))-1</f>
        <v>9.950487772243144E-2</v>
      </c>
      <c r="K45" s="32">
        <f>STDEV($F$21:F45)*(12^0.5)</f>
        <v>2.99427478561177E-2</v>
      </c>
      <c r="L45" s="52">
        <v>4.2589999999999998E-3</v>
      </c>
      <c r="M45" s="33">
        <f t="shared" ref="M45" si="99">+M44*(1+(L45*(B45-B44)/365))</f>
        <v>100.31385844535184</v>
      </c>
      <c r="N45" s="32">
        <f t="shared" ref="N45" si="100">+M45/100</f>
        <v>1.0031385844535183</v>
      </c>
      <c r="O45" s="33">
        <f>COUNT($B$20:B45)/12</f>
        <v>2.1666666666666665</v>
      </c>
      <c r="P45" s="32">
        <f t="shared" ref="P45" si="101">-1+(N45^(1/O45))</f>
        <v>1.4473553533038697E-3</v>
      </c>
      <c r="Q45" s="43">
        <f t="shared" ref="Q45" si="102">+(J45-P45)/K45</f>
        <v>3.2748337874772946</v>
      </c>
    </row>
    <row r="46" spans="2:17">
      <c r="B46" s="29">
        <v>42825</v>
      </c>
      <c r="C46" s="30">
        <f>+C45</f>
        <v>16724855.640000001</v>
      </c>
      <c r="D46" s="31">
        <v>17577467.109999999</v>
      </c>
      <c r="E46" s="31">
        <v>92144.67</v>
      </c>
      <c r="F46" s="32">
        <v>4.3947700000000001E-3</v>
      </c>
      <c r="G46" s="45">
        <f>+F46+1</f>
        <v>1.00439477</v>
      </c>
      <c r="H46" s="50">
        <f>+G46*G45*G44*G43*G42*G41*G40*G39*G38*G37*G36*G35*G34*G33*G32*G31*G30*G29*G28*G27*G26*G25*G24*G23*G22*G21</f>
        <v>1.2234098206605519</v>
      </c>
      <c r="I46" s="40">
        <f t="shared" ref="I46" si="103">+H46-1</f>
        <v>0.22340982066055193</v>
      </c>
      <c r="J46" s="41">
        <f t="shared" ref="J46" si="104">+(1+I46)^(365/(B46-$B$20))-1</f>
        <v>9.7641361009418448E-2</v>
      </c>
      <c r="K46" s="32">
        <f>STDEV($F$21:F46)*(12^0.5)</f>
        <v>2.9437413747201616E-2</v>
      </c>
      <c r="L46" s="52">
        <v>7.2529999999999999E-3</v>
      </c>
      <c r="M46" s="33">
        <f t="shared" ref="M46" si="105">+M45*(1+(L46*(B46-B45)/365))</f>
        <v>100.37565260665166</v>
      </c>
      <c r="N46" s="32">
        <f t="shared" ref="N46" si="106">+M46/100</f>
        <v>1.0037565260665167</v>
      </c>
      <c r="O46" s="33">
        <f>COUNT($B$20:B46)/12</f>
        <v>2.25</v>
      </c>
      <c r="P46" s="32">
        <f t="shared" ref="P46" si="107">-1+(N46^(1/O46))</f>
        <v>1.6678283669548932E-3</v>
      </c>
      <c r="Q46" s="43">
        <f t="shared" ref="Q46" si="108">+(J46-P46)/K46</f>
        <v>3.2602569460296764</v>
      </c>
    </row>
    <row r="47" spans="2:17">
      <c r="B47" s="29">
        <v>42855</v>
      </c>
      <c r="C47" s="30">
        <f>+C46+307149</f>
        <v>17032004.640000001</v>
      </c>
      <c r="D47" s="31">
        <v>17810716.190000001</v>
      </c>
      <c r="E47" s="31">
        <v>184289.33</v>
      </c>
      <c r="F47" s="32">
        <v>6.2365800000000002E-3</v>
      </c>
      <c r="G47" s="45">
        <f>+F47+1</f>
        <v>1.0062365799999999</v>
      </c>
      <c r="H47" s="50">
        <f>+G47*G46*G45*G44*G43*G42*G41*G40*G39*G38*G37*G36*G35*G34*G33*G32*G31*G30*G29*G28*G27*G26*G25*G24*G23*G22*G21</f>
        <v>1.2310397138798859</v>
      </c>
      <c r="I47" s="40">
        <f>+H47-1</f>
        <v>0.23103971387988587</v>
      </c>
      <c r="J47" s="41">
        <f t="shared" ref="J47" si="109">+(1+I47)^(365/(B47-$B$20))-1</f>
        <v>9.6937988902181305E-2</v>
      </c>
      <c r="K47" s="32">
        <f>STDEV($F$21:F47)*(12^0.5)</f>
        <v>2.8885048599310337E-2</v>
      </c>
      <c r="L47" s="52">
        <v>6.5929999999999999E-3</v>
      </c>
      <c r="M47" s="33">
        <f t="shared" ref="M47" si="110">+M46*(1+(L47*(B47-B46)/365))</f>
        <v>100.43004521029295</v>
      </c>
      <c r="N47" s="32">
        <f t="shared" ref="N47" si="111">+M47/100</f>
        <v>1.0043004521029295</v>
      </c>
      <c r="O47" s="33">
        <f>COUNT($B$20:B47)/12</f>
        <v>2.3333333333333335</v>
      </c>
      <c r="P47" s="32">
        <f t="shared" ref="P47" si="112">-1+(N47^(1/O47))</f>
        <v>1.8407914306293183E-3</v>
      </c>
      <c r="Q47" s="43">
        <f t="shared" ref="Q47" si="113">+(J47-P47)/K47</f>
        <v>3.2922637171475122</v>
      </c>
    </row>
    <row r="48" spans="2:17">
      <c r="B48" s="29">
        <v>42886</v>
      </c>
      <c r="C48" s="30">
        <f>+C47</f>
        <v>17032004.640000001</v>
      </c>
      <c r="D48" s="31">
        <v>17842561.77</v>
      </c>
      <c r="E48" s="31">
        <v>122859.56</v>
      </c>
      <c r="F48" s="32">
        <v>8.5863999999999992E-3</v>
      </c>
      <c r="G48" s="45">
        <f>+F48+1</f>
        <v>1.0085864</v>
      </c>
      <c r="H48" s="50">
        <f>+G48*G47*G46*G45*G44*G43*G42*G41*G40*G39*G38*G37*G36*G35*G34*G33*G32*G31*G30*G29*G28*G27*G26*G25*G24*G23*G22*G21</f>
        <v>1.2416099132791449</v>
      </c>
      <c r="I48" s="40">
        <f>+H48-1</f>
        <v>0.24160991327914494</v>
      </c>
      <c r="J48" s="41">
        <f t="shared" ref="J48" si="114">+(1+I48)^(365/(B48-$B$20))-1</f>
        <v>9.7263451729140638E-2</v>
      </c>
      <c r="K48" s="32">
        <f>STDEV($F$21:F48)*(12^0.5)</f>
        <v>2.8350241926707837E-2</v>
      </c>
      <c r="L48" s="53">
        <v>8.5730000000000008E-3</v>
      </c>
      <c r="M48" s="33">
        <f t="shared" ref="M48" si="115">+M47*(1+(L48*(B48-B47)/365))</f>
        <v>100.50317011469082</v>
      </c>
      <c r="N48" s="32">
        <f t="shared" ref="N48" si="116">+M48/100</f>
        <v>1.0050317011469081</v>
      </c>
      <c r="O48" s="33">
        <f>COUNT($B$20:B48)/12</f>
        <v>2.4166666666666665</v>
      </c>
      <c r="P48" s="32">
        <f t="shared" ref="P48" si="117">-1+(N48^(1/O48))</f>
        <v>2.0790207010663586E-3</v>
      </c>
      <c r="Q48" s="43">
        <f t="shared" ref="Q48" si="118">+(J48-P48)/K48</f>
        <v>3.3574468702647695</v>
      </c>
    </row>
    <row r="49" spans="2:17" ht="6.75" customHeight="1">
      <c r="B49" s="29"/>
      <c r="C49" s="30"/>
      <c r="D49" s="31"/>
      <c r="E49" s="31"/>
      <c r="F49" s="32"/>
      <c r="G49" s="32"/>
      <c r="H49" s="32"/>
      <c r="I49" s="40"/>
      <c r="J49" s="41"/>
      <c r="K49" s="32"/>
      <c r="L49" s="32"/>
      <c r="M49" s="32"/>
      <c r="N49" s="32"/>
      <c r="O49" s="32"/>
      <c r="P49" s="32"/>
      <c r="Q49" s="40"/>
    </row>
    <row r="50" spans="2:17">
      <c r="B50" s="36" t="s">
        <v>13</v>
      </c>
      <c r="C50" s="37">
        <f>C48</f>
        <v>17032004.640000001</v>
      </c>
      <c r="D50" s="38">
        <f>D48</f>
        <v>17842561.77</v>
      </c>
      <c r="E50" s="38">
        <f>+SUM(E20:E48)</f>
        <v>2389618.36</v>
      </c>
      <c r="F50" s="39">
        <f>F48</f>
        <v>8.5863999999999992E-3</v>
      </c>
      <c r="G50" s="39"/>
      <c r="H50" s="39"/>
      <c r="I50" s="56">
        <f>I48</f>
        <v>0.24160991327914494</v>
      </c>
      <c r="J50" s="42">
        <f>J48</f>
        <v>9.7263451729140638E-2</v>
      </c>
      <c r="K50" s="39">
        <f>K48</f>
        <v>2.8350241926707837E-2</v>
      </c>
      <c r="L50" s="39"/>
      <c r="M50" s="39"/>
      <c r="N50" s="39"/>
      <c r="O50" s="39"/>
      <c r="P50" s="39"/>
      <c r="Q50" s="44">
        <f>Q48</f>
        <v>3.3574468702647695</v>
      </c>
    </row>
    <row r="51" spans="2:17">
      <c r="B51" s="9"/>
      <c r="C51" s="2"/>
      <c r="D51" s="2"/>
      <c r="E51" s="8"/>
      <c r="F51" s="8"/>
      <c r="G51" s="8"/>
      <c r="H51" s="8"/>
      <c r="I51" s="8"/>
      <c r="J51" s="4"/>
      <c r="K51" s="4"/>
      <c r="L51" s="4"/>
      <c r="M51" s="4"/>
      <c r="N51" s="4"/>
      <c r="O51" s="4"/>
      <c r="P51" s="4"/>
      <c r="Q51" s="4"/>
    </row>
    <row r="52" spans="2:17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43 C45 C47 E5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2017-07-14T21:01:42Z</dcterms:modified>
</cp:coreProperties>
</file>